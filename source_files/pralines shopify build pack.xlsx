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shad.Lakshman\Downloads\"/>
    </mc:Choice>
  </mc:AlternateContent>
  <xr:revisionPtr revIDLastSave="0" documentId="13_ncr:1_{1FCF3F28-AC44-4F1C-A599-6C92AC817581}" xr6:coauthVersionLast="47" xr6:coauthVersionMax="47" xr10:uidLastSave="{00000000-0000-0000-0000-000000000000}"/>
  <bookViews>
    <workbookView xWindow="28680" yWindow="-120" windowWidth="29040" windowHeight="15720" tabRatio="500" activeTab="4" xr2:uid="{00000000-000D-0000-FFFF-FFFF00000000}"/>
  </bookViews>
  <sheets>
    <sheet name="Summary" sheetId="1" r:id="rId1"/>
    <sheet name="Sitemap" sheetId="2" r:id="rId2"/>
    <sheet name="Navigation" sheetId="3" r:id="rId3"/>
    <sheet name="Redirects &amp; Canonicals" sheetId="4" r:id="rId4"/>
    <sheet name="Build Checklist" sheetId="5" r:id="rId5"/>
    <sheet name="Open Decisions" sheetId="6" state="hidden" r:id="rId6"/>
  </sheets>
  <definedNames>
    <definedName name="_xlnm._FilterDatabase" localSheetId="4" hidden="1">'Build Checklist'!$A$1:$H$44</definedName>
    <definedName name="_xlnm._FilterDatabase" localSheetId="2" hidden="1">Navigation!$A$1:$I$41</definedName>
    <definedName name="_xlnm._FilterDatabase" localSheetId="5" hidden="1">'Open Decisions'!$A$1:$F$14</definedName>
    <definedName name="_xlnm._FilterDatabase" localSheetId="3" hidden="1">'Redirects &amp; Canonicals'!$A$1:$E$7</definedName>
    <definedName name="_xlnm._FilterDatabase" localSheetId="1" hidden="1">Sitemap!$A$1:$J$46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<sst xmlns="http://schemas.openxmlformats.org/spreadsheetml/2006/main" count="1191" uniqueCount="532">
  <si>
    <t>Metric</t>
  </si>
  <si>
    <t>Count</t>
  </si>
  <si>
    <t>Sitemap rows</t>
  </si>
  <si>
    <t xml:space="preserve">  Added</t>
  </si>
  <si>
    <t xml:space="preserve">  Modified</t>
  </si>
  <si>
    <t xml:space="preserve">  Redirects</t>
  </si>
  <si>
    <t xml:space="preserve">  Decisions pending</t>
  </si>
  <si>
    <t>Navigation rows</t>
  </si>
  <si>
    <t xml:space="preserve">  Nav rows added</t>
  </si>
  <si>
    <t>Checklist tasks</t>
  </si>
  <si>
    <t xml:space="preserve">  Done</t>
  </si>
  <si>
    <t xml:space="preserve">  Blocked</t>
  </si>
  <si>
    <t>Open decisions</t>
  </si>
  <si>
    <t xml:space="preserve">  Unanswered</t>
  </si>
  <si>
    <t>How to use</t>
  </si>
  <si>
    <t>Sitemap and Navigation: final proposed structure; review Change and Reason columns.</t>
  </si>
  <si>
    <t>Redirects &amp; Canonicals: hand to SEO/Developer.</t>
  </si>
  <si>
    <t>Build Checklist: update Status (dropdown); Summary counts update automatically.</t>
  </si>
  <si>
    <t>Open Decisions: fill the Answer column; items block the gates shown.</t>
  </si>
  <si>
    <t>Path</t>
  </si>
  <si>
    <t>Nav group</t>
  </si>
  <si>
    <t>Page type</t>
  </si>
  <si>
    <t>Owner</t>
  </si>
  <si>
    <t>Page job</t>
  </si>
  <si>
    <t>Launch priority</t>
  </si>
  <si>
    <t>Template</t>
  </si>
  <si>
    <t>Notes</t>
  </si>
  <si>
    <t>Change</t>
  </si>
  <si>
    <t>Reason for change</t>
  </si>
  <si>
    <t>/</t>
  </si>
  <si>
    <t>Home</t>
  </si>
  <si>
    <t>Homepage</t>
  </si>
  <si>
    <t>Shopify UX Designer</t>
  </si>
  <si>
    <t>Route users by intent: gift, corporate, vegan, shop</t>
  </si>
  <si>
    <t>Must launch</t>
  </si>
  <si>
    <t>Hero, intent cards, bestsellers, corporate, vegan, delivery trust</t>
  </si>
  <si>
    <t>Unchanged</t>
  </si>
  <si>
    <t>/collections/all</t>
  </si>
  <si>
    <t>Shop</t>
  </si>
  <si>
    <t>Collection</t>
  </si>
  <si>
    <t>Ecommerce Trader</t>
  </si>
  <si>
    <t>Full catalogue browsing</t>
  </si>
  <si>
    <t>Collection PLP</t>
  </si>
  <si>
    <t>Use broad filters only here</t>
  </si>
  <si>
    <t>/collections/pralines-and-truffles</t>
  </si>
  <si>
    <t>Core category revenue and Belgian product truth</t>
  </si>
  <si>
    <t>Filters: price, box size, chocolate type, filling, alcohol</t>
  </si>
  <si>
    <t>/collections/ballotins</t>
  </si>
  <si>
    <t>Heritage product format</t>
  </si>
  <si>
    <t>250g, 500g, 1kg variants</t>
  </si>
  <si>
    <t>/collections/gift-boxes</t>
  </si>
  <si>
    <t>Shop/Gifts</t>
  </si>
  <si>
    <t>Core gift conversion</t>
  </si>
  <si>
    <t>Show occasion chips</t>
  </si>
  <si>
    <t>/collections/chocolate-tablets</t>
  </si>
  <si>
    <t>Lower-price entry and add-on product</t>
  </si>
  <si>
    <t>Phase 1</t>
  </si>
  <si>
    <t>Useful for vegan and dark chocolate</t>
  </si>
  <si>
    <t>/collections/small-gifts</t>
  </si>
  <si>
    <t>Low-friction gifting under entry price</t>
  </si>
  <si>
    <t>Pair with gift message</t>
  </si>
  <si>
    <t>Modified</t>
  </si>
  <si>
    <t>Absorbs /collections/small-attentions (redirect). Design uses "Small Attentions" as the customer-facing label.</t>
  </si>
  <si>
    <t>/collections/premium-gifts</t>
  </si>
  <si>
    <t>AOV driver</t>
  </si>
  <si>
    <t>Premium image style</t>
  </si>
  <si>
    <t>/collections/belgian-classics</t>
  </si>
  <si>
    <t>Heritage and SEO route</t>
  </si>
  <si>
    <t>Pralines, ballotins, truffles</t>
  </si>
  <si>
    <t>/collections/seasonal-drops</t>
  </si>
  <si>
    <t>Campaign and urgency driver</t>
  </si>
  <si>
    <t>Can be manually curated</t>
  </si>
  <si>
    <t>/collections/birthday-gifts</t>
  </si>
  <si>
    <t>Gifts</t>
  </si>
  <si>
    <t>Occasion landing page</t>
  </si>
  <si>
    <t>Gift PLP</t>
  </si>
  <si>
    <t>SEO and paid search landing</t>
  </si>
  <si>
    <t>/collections/thank-you-gifts</t>
  </si>
  <si>
    <t>Strong corporate crossover</t>
  </si>
  <si>
    <t>/collections/love-and-romance</t>
  </si>
  <si>
    <t>Valentine later</t>
  </si>
  <si>
    <t>/collections/dinner-party-gifts</t>
  </si>
  <si>
    <t>Host gift route</t>
  </si>
  <si>
    <t>Good for small gifts</t>
  </si>
  <si>
    <t>/collections/vegan-chocolates</t>
  </si>
  <si>
    <t>Vegan &amp; Conscious</t>
  </si>
  <si>
    <t>Growth and values-led buyer route</t>
  </si>
  <si>
    <t>Vegan PLP</t>
  </si>
  <si>
    <t>Self-canonical SEO collection</t>
  </si>
  <si>
    <t>Mockup shows Organic/Fair Trade tiles and "No palm oil" claim: only show if SKU-level proof exists (see Open Decisions).</t>
  </si>
  <si>
    <t>/collections/organic-chocolate</t>
  </si>
  <si>
    <t>Ecommerce Trader/SEO</t>
  </si>
  <si>
    <t>Claim landing page if true at SKU level</t>
  </si>
  <si>
    <t>Phase 1 if claims exist</t>
  </si>
  <si>
    <t>Do not create if not supported by products</t>
  </si>
  <si>
    <t>/collections/fairtrade-chocolate</t>
  </si>
  <si>
    <t>/collections/no-alcohol-chocolates</t>
  </si>
  <si>
    <t>Dietary/trust gift route</t>
  </si>
  <si>
    <t>Must launch if data supports</t>
  </si>
  <si>
    <t>Useful for gifting</t>
  </si>
  <si>
    <t>/collections/corporate-gifts</t>
  </si>
  <si>
    <t>Corporate Gifts</t>
  </si>
  <si>
    <t>Business gift product collection</t>
  </si>
  <si>
    <t>Corporate PLP</t>
  </si>
  <si>
    <t>Not normal retail clutter</t>
  </si>
  <si>
    <t>/pages/corporate-gifting</t>
  </si>
  <si>
    <t>Landing page</t>
  </si>
  <si>
    <t>B2B funnel and value proposition</t>
  </si>
  <si>
    <t>Corporate Landing</t>
  </si>
  <si>
    <t>Use cases, product formats, personalisation, quote</t>
  </si>
  <si>
    <t>Mockup adds Seasonal and Hospitality use cases, multi-address, invoicing: confirm scope before build.</t>
  </si>
  <si>
    <t>/pages/pralines-with-logo</t>
  </si>
  <si>
    <t>Logo pralines conversion page</t>
  </si>
  <si>
    <t>Inspired by Van Parijs</t>
  </si>
  <si>
    <t>/pages/client-gifts</t>
  </si>
  <si>
    <t>Specific B2B use case</t>
  </si>
  <si>
    <t>Can be copy-light at launch</t>
  </si>
  <si>
    <t>/pages/employee-gifts</t>
  </si>
  <si>
    <t>Useful for HR/bulk</t>
  </si>
  <si>
    <t>/pages/request-a-quote</t>
  </si>
  <si>
    <t>Form page</t>
  </si>
  <si>
    <t>Shopify Developer</t>
  </si>
  <si>
    <t>B2B quote capture</t>
  </si>
  <si>
    <t>Quote Form</t>
  </si>
  <si>
    <t>Quantity, budget, date, upload logo</t>
  </si>
  <si>
    <t>/pages/upload-your-logo</t>
  </si>
  <si>
    <t>Logo upload and artwork intake</t>
  </si>
  <si>
    <t>Upload Form</t>
  </si>
  <si>
    <t>File type guidance</t>
  </si>
  <si>
    <t>/pages/belgian-pralines</t>
  </si>
  <si>
    <t>Our Chocolate</t>
  </si>
  <si>
    <t>Trust/SEO page</t>
  </si>
  <si>
    <t>Brand Designer/SEO</t>
  </si>
  <si>
    <t>Heritage and product education</t>
  </si>
  <si>
    <t>Editorial Trust</t>
  </si>
  <si>
    <t>Supports brand authority</t>
  </si>
  <si>
    <t>/pages/ingredients</t>
  </si>
  <si>
    <t>Trust page</t>
  </si>
  <si>
    <t>Brand Designer</t>
  </si>
  <si>
    <t>Ingredient transparency</t>
  </si>
  <si>
    <t>Links from PDP tabs</t>
  </si>
  <si>
    <t>Absorbs /pages/ingredient-transparency (redirect) so there is one ingredient trust page.</t>
  </si>
  <si>
    <t>/pages/organic-and-fairtrade</t>
  </si>
  <si>
    <t>SEO Specialist</t>
  </si>
  <si>
    <t>Claim proof</t>
  </si>
  <si>
    <t>Avoid greenwashing</t>
  </si>
  <si>
    <t>/pages/allergens</t>
  </si>
  <si>
    <t>Allergen safety and product trust</t>
  </si>
  <si>
    <t>FAQ/Trust</t>
  </si>
  <si>
    <t>Also product-level content</t>
  </si>
  <si>
    <t>/pages/shipping-and-delivery</t>
  </si>
  <si>
    <t>Delivery</t>
  </si>
  <si>
    <t>Service page</t>
  </si>
  <si>
    <t>Ecommerce Trader/Developer</t>
  </si>
  <si>
    <t>Delivery rules and customer confidence</t>
  </si>
  <si>
    <t>Service</t>
  </si>
  <si>
    <t>Core conversion page</t>
  </si>
  <si>
    <t>/pages/delivery-calendar</t>
  </si>
  <si>
    <t>Date picker and shipping calendar logic</t>
  </si>
  <si>
    <t>Must launch if app ready</t>
  </si>
  <si>
    <t>Critical for gifts</t>
  </si>
  <si>
    <t>/pages/warm-weather-shipping</t>
  </si>
  <si>
    <t>Temperature-sensitive shipping clarity</t>
  </si>
  <si>
    <t>Reduces complaints</t>
  </si>
  <si>
    <t>/pages/returns-and-quality-guarantee</t>
  </si>
  <si>
    <t>Quality guarantee and returns policy</t>
  </si>
  <si>
    <t>Risk reduction</t>
  </si>
  <si>
    <t>/pages/faq</t>
  </si>
  <si>
    <t>FAQ</t>
  </si>
  <si>
    <t>Support deflection</t>
  </si>
  <si>
    <t>Shipping, gifting, vegan, allergens, corporate</t>
  </si>
  <si>
    <t>/collections/small-attentions</t>
  </si>
  <si>
    <t>Redirect</t>
  </si>
  <si>
    <t>301 to /collections/small-gifts</t>
  </si>
  <si>
    <t>n/a</t>
  </si>
  <si>
    <t>Keep label "Small Attentions" in nav only if desired</t>
  </si>
  <si>
    <t>Duplicate of small-gifts in nav CSV but not in sitemap.</t>
  </si>
  <si>
    <t>/pages/ingredient-transparency</t>
  </si>
  <si>
    <t>301 to /pages/ingredients</t>
  </si>
  <si>
    <t>Link from Vegan &amp; Conscious nav to /pages/ingredients</t>
  </si>
  <si>
    <t>Duplicate of /pages/ingredients; was in nav CSV only.</t>
  </si>
  <si>
    <t>/blogs/stories/how-to-store-pralines</t>
  </si>
  <si>
    <t>Blog</t>
  </si>
  <si>
    <t>Informational SEO, product care</t>
  </si>
  <si>
    <t>Blog article</t>
  </si>
  <si>
    <t>Targets "how to store pralines" per SEO map</t>
  </si>
  <si>
    <t>Added</t>
  </si>
  <si>
    <t>In SEO keyword map but missing from sitemap.</t>
  </si>
  <si>
    <t>/blogs/stories</t>
  </si>
  <si>
    <t>Blog index</t>
  </si>
  <si>
    <t>Parent for blog posts</t>
  </si>
  <si>
    <t>Shopify blog handle "stories"</t>
  </si>
  <si>
    <t>Needed as parent of the SEO blog post.</t>
  </si>
  <si>
    <t>/pages/about</t>
  </si>
  <si>
    <t>About</t>
  </si>
  <si>
    <t>Brand page</t>
  </si>
  <si>
    <t>About / brand story landing</t>
  </si>
  <si>
    <t>Top nav "About" had no page</t>
  </si>
  <si>
    <t>Top nav item with no sitemap entry.</t>
  </si>
  <si>
    <t>/pages/sustainability</t>
  </si>
  <si>
    <t>Sustainable cacao and ethics claims</t>
  </si>
  <si>
    <t>Shown in design footer. Claims need proof</t>
  </si>
  <si>
    <t>Footer link in all mockups; not in sitemap.</t>
  </si>
  <si>
    <t>/pages/contact</t>
  </si>
  <si>
    <t>Contact and support</t>
  </si>
  <si>
    <t>Shown in design footer</t>
  </si>
  <si>
    <t>/pages/build-a-ballotin</t>
  </si>
  <si>
    <t>Feature page</t>
  </si>
  <si>
    <t>TBD</t>
  </si>
  <si>
    <t>Box builder (pick your own pralines)</t>
  </si>
  <si>
    <t>TBD: decision needed</t>
  </si>
  <si>
    <t>Custom</t>
  </si>
  <si>
    <t>Shown as CTA on Home and in footer. Needs box-builder app/dev</t>
  </si>
  <si>
    <t>Decision</t>
  </si>
  <si>
    <t>In design but in no brief or CSV. Cut or scope it.</t>
  </si>
  <si>
    <t>/policies/privacy-policy</t>
  </si>
  <si>
    <t>Footer</t>
  </si>
  <si>
    <t>Legal</t>
  </si>
  <si>
    <t>Privacy policy</t>
  </si>
  <si>
    <t>Shopify policy</t>
  </si>
  <si>
    <t>Use Shopify policy pages</t>
  </si>
  <si>
    <t>Footer link in designs; legally required.</t>
  </si>
  <si>
    <t>/policies/terms-of-service</t>
  </si>
  <si>
    <t>Terms and conditions</t>
  </si>
  <si>
    <t>/policies/refund-policy</t>
  </si>
  <si>
    <t>Returns policy (summary links to quality guarantee page)</t>
  </si>
  <si>
    <t>Align with /pages/returns-and-quality-guarantee</t>
  </si>
  <si>
    <t>Standard Shopify policy; avoid conflicting returns text.</t>
  </si>
  <si>
    <t>Top nav (brief)</t>
  </si>
  <si>
    <t>Dropdown item</t>
  </si>
  <si>
    <t>URL</t>
  </si>
  <si>
    <t>Purpose</t>
  </si>
  <si>
    <t>Build note</t>
  </si>
  <si>
    <t>Closest label in design</t>
  </si>
  <si>
    <t>Reason</t>
  </si>
  <si>
    <t>All Chocolates</t>
  </si>
  <si>
    <t>Full catalogue</t>
  </si>
  <si>
    <t>Broad filters</t>
  </si>
  <si>
    <t>Pralines &amp; Ballotins (design)</t>
  </si>
  <si>
    <t>Pralines &amp; Truffles</t>
  </si>
  <si>
    <t>Core category</t>
  </si>
  <si>
    <t>Dedicated filters</t>
  </si>
  <si>
    <t>Ballotins</t>
  </si>
  <si>
    <t>Heritage format</t>
  </si>
  <si>
    <t>Weights/box sizes</t>
  </si>
  <si>
    <t>Gift Boxes</t>
  </si>
  <si>
    <t>Gift conversion</t>
  </si>
  <si>
    <t>Occasion chips</t>
  </si>
  <si>
    <t>Chocolate Tablets</t>
  </si>
  <si>
    <t>Add-on/lower price</t>
  </si>
  <si>
    <t>Vegan/dark route</t>
  </si>
  <si>
    <t>Small Gifts</t>
  </si>
  <si>
    <t>Low-friction gift</t>
  </si>
  <si>
    <t>Under entry price</t>
  </si>
  <si>
    <t>Premium Gifts</t>
  </si>
  <si>
    <t>Premium design</t>
  </si>
  <si>
    <t>Belgian Classics</t>
  </si>
  <si>
    <t>Heritage route</t>
  </si>
  <si>
    <t>SEO/education</t>
  </si>
  <si>
    <t>Seasonal Drops</t>
  </si>
  <si>
    <t>Campaign route</t>
  </si>
  <si>
    <t>Use disruptor accent</t>
  </si>
  <si>
    <t>Birthday Gifts</t>
  </si>
  <si>
    <t>Occasion shopping</t>
  </si>
  <si>
    <t>SEO page</t>
  </si>
  <si>
    <t>Shop Gifts (design)</t>
  </si>
  <si>
    <t>Thank You Gifts</t>
  </si>
  <si>
    <t>High usage</t>
  </si>
  <si>
    <t>Love &amp; Romance</t>
  </si>
  <si>
    <t>Valentine ready</t>
  </si>
  <si>
    <t>Dinner Party Gifts</t>
  </si>
  <si>
    <t>Host gift</t>
  </si>
  <si>
    <t>Small gifts</t>
  </si>
  <si>
    <t>Small Gifts (label: Small Attentions)</t>
  </si>
  <si>
    <t>Human label for small gifts</t>
  </si>
  <si>
    <t>Create collection or redirect to small gifts</t>
  </si>
  <si>
    <t>Pointed at the single small-gifts collection; old URL redirects.</t>
  </si>
  <si>
    <t>Corporate Gifting</t>
  </si>
  <si>
    <t>B2B overview</t>
  </si>
  <si>
    <t>Top-priority path</t>
  </si>
  <si>
    <t>Corporate Gifting (design)</t>
  </si>
  <si>
    <t>Pralines with Logo</t>
  </si>
  <si>
    <t>Logo praline service</t>
  </si>
  <si>
    <t>Reference Van Parijs</t>
  </si>
  <si>
    <t>Client Gifts</t>
  </si>
  <si>
    <t>B2B use case</t>
  </si>
  <si>
    <t>Can phase content</t>
  </si>
  <si>
    <t>Employee Gifts</t>
  </si>
  <si>
    <t>Request a Quote</t>
  </si>
  <si>
    <t>Lead capture</t>
  </si>
  <si>
    <t>Visible CTA</t>
  </si>
  <si>
    <t>Upload Your Logo</t>
  </si>
  <si>
    <t>File upload</t>
  </si>
  <si>
    <t>Vegan Chocolate</t>
  </si>
  <si>
    <t>Values-led shop</t>
  </si>
  <si>
    <t>Top-level route</t>
  </si>
  <si>
    <t>Vegan &amp; Conscious (design)</t>
  </si>
  <si>
    <t>Organic</t>
  </si>
  <si>
    <t>Claim page if true</t>
  </si>
  <si>
    <t>Do not overclaim</t>
  </si>
  <si>
    <t>Fairtrade</t>
  </si>
  <si>
    <t>No Alcohol</t>
  </si>
  <si>
    <t>Gift trust</t>
  </si>
  <si>
    <t>Metafield driven</t>
  </si>
  <si>
    <t>Ingredients &amp; Transparency</t>
  </si>
  <si>
    <t>Editorial trust</t>
  </si>
  <si>
    <t>Merged with Ingredients page; old URL redirects.</t>
  </si>
  <si>
    <t>Belgian Pralines</t>
  </si>
  <si>
    <t>Heritage education</t>
  </si>
  <si>
    <t>Editorial page</t>
  </si>
  <si>
    <t>Our Chocolate (design)</t>
  </si>
  <si>
    <t>Ingredients</t>
  </si>
  <si>
    <t>Ingredient trust</t>
  </si>
  <si>
    <t>PDP support</t>
  </si>
  <si>
    <t xml:space="preserve"> Same URL appears under two nav groups: intentional cross-link, not a duplicate page.</t>
  </si>
  <si>
    <t>Allergens</t>
  </si>
  <si>
    <t>Safety/compliance</t>
  </si>
  <si>
    <t>FAQ style</t>
  </si>
  <si>
    <t>Shipping Information</t>
  </si>
  <si>
    <t>Shipping clarity</t>
  </si>
  <si>
    <t>Core conversion</t>
  </si>
  <si>
    <t>Not in design (strip only)</t>
  </si>
  <si>
    <t>Delivery Calendar</t>
  </si>
  <si>
    <t>Date logic</t>
  </si>
  <si>
    <t>Needs app/custom</t>
  </si>
  <si>
    <t>Warm Weather Shipping</t>
  </si>
  <si>
    <t>Heat policy</t>
  </si>
  <si>
    <t>Core chocolate trust</t>
  </si>
  <si>
    <t>Launch required</t>
  </si>
  <si>
    <t>Corporate Gift Boxes</t>
  </si>
  <si>
    <t>Business gift products</t>
  </si>
  <si>
    <t>Must launch in sitemap but was missing from nav</t>
  </si>
  <si>
    <t>In sitemap, not in nav CSV.</t>
  </si>
  <si>
    <t>Seasonal / Hospitality Gifts</t>
  </si>
  <si>
    <t>Use cases shown in Corporate mockup</t>
  </si>
  <si>
    <t>Only if scope approved</t>
  </si>
  <si>
    <t>Mockup shows them; no sitemap pages exist.</t>
  </si>
  <si>
    <t>Organic &amp; Fairtrade (proof)</t>
  </si>
  <si>
    <t>Claim proof page</t>
  </si>
  <si>
    <t>Returns &amp; Quality Guarantee</t>
  </si>
  <si>
    <t>Not in design (footer only)</t>
  </si>
  <si>
    <t>Our Story</t>
  </si>
  <si>
    <t>Brand story</t>
  </si>
  <si>
    <t>About Us (design)</t>
  </si>
  <si>
    <t>"About" top nav had no destination.</t>
  </si>
  <si>
    <t>Sustainability</t>
  </si>
  <si>
    <t>Ethics and cacao sourcing</t>
  </si>
  <si>
    <t>Footer link in designs.</t>
  </si>
  <si>
    <t>Contact</t>
  </si>
  <si>
    <t>Support</t>
  </si>
  <si>
    <t>Footer (design)</t>
  </si>
  <si>
    <t>Build a Ballotin</t>
  </si>
  <si>
    <t>Box builder</t>
  </si>
  <si>
    <t>Decision needed</t>
  </si>
  <si>
    <t>Home intent card (design)</t>
  </si>
  <si>
    <t>Only in design; scope unconfirmed.</t>
  </si>
  <si>
    <t>From</t>
  </si>
  <si>
    <t>To / Rule</t>
  </si>
  <si>
    <t>Type</t>
  </si>
  <si>
    <t>301 redirect</t>
  </si>
  <si>
    <t>One collection, two labels</t>
  </si>
  <si>
    <t>Merge duplicate trust pages</t>
  </si>
  <si>
    <t>Any filtered collection URL (?filter.*)</t>
  </si>
  <si>
    <t>Parent collection URL</t>
  </si>
  <si>
    <t>Canonical + noindex rule</t>
  </si>
  <si>
    <t>Per SEO map: do not index filters</t>
  </si>
  <si>
    <t>Create only if organic SKUs exist</t>
  </si>
  <si>
    <t>Conditional</t>
  </si>
  <si>
    <t>Avoid greenwashing; no empty claim pages</t>
  </si>
  <si>
    <t>Create only if Fairtrade SKUs exist</t>
  </si>
  <si>
    <t>Self-canonical</t>
  </si>
  <si>
    <t>Canonical</t>
  </si>
  <si>
    <t>Auto-generated Shopify collection</t>
  </si>
  <si>
    <t>#</t>
  </si>
  <si>
    <t>Template / area</t>
  </si>
  <si>
    <t>Task</t>
  </si>
  <si>
    <t>Dependency</t>
  </si>
  <si>
    <t>Gate</t>
  </si>
  <si>
    <t>Status</t>
  </si>
  <si>
    <t>Global</t>
  </si>
  <si>
    <t>Choose theme with filter drawer, mega menu, quick-add, cart drawer</t>
  </si>
  <si>
    <t>Theme</t>
  </si>
  <si>
    <t>Theme demo checked against all 5 designs</t>
  </si>
  <si>
    <t>Gate 2</t>
  </si>
  <si>
    <t>Not started</t>
  </si>
  <si>
    <t>Create collections list and automated collection rules from metafields/tags</t>
  </si>
  <si>
    <t>Setup</t>
  </si>
  <si>
    <t>Metafield schema approved</t>
  </si>
  <si>
    <t>Gate 4</t>
  </si>
  <si>
    <t>Create all 20 product metafield definitions (add palm_oil_free if claimed)</t>
  </si>
  <si>
    <t>Schema sign-off</t>
  </si>
  <si>
    <t>Mega menu + mobile menu built from reconciled Navigation sheet</t>
  </si>
  <si>
    <t>Nav decision (Open Decisions #1)</t>
  </si>
  <si>
    <t>Announcement bar (3 USPs) with only verified claims</t>
  </si>
  <si>
    <t>Claims verified</t>
  </si>
  <si>
    <t>Cart drawer: gift message, delivery date, tablet upsell</t>
  </si>
  <si>
    <t>Theme/App</t>
  </si>
  <si>
    <t>Cart drawer design (missing)</t>
  </si>
  <si>
    <t>Gate 3</t>
  </si>
  <si>
    <t>Markets setup: country, currency, language selector</t>
  </si>
  <si>
    <t>Shipping zones defined</t>
  </si>
  <si>
    <t>Footer links to real pages and Shopify policies</t>
  </si>
  <si>
    <t>Sitemap additions approved</t>
  </si>
  <si>
    <t>Hero + trust chips, 4 intent cards, bestsellers carousel</t>
  </si>
  <si>
    <t>Product photography</t>
  </si>
  <si>
    <t>Collection banners, corporate band, delivery confidence panel</t>
  </si>
  <si>
    <t>Delivery rules defined</t>
  </si>
  <si>
    <t>Replace placeholder rating (12,000+ reviews) with real review feed or remove</t>
  </si>
  <si>
    <t>App/Content</t>
  </si>
  <si>
    <t>Reviews app chosen</t>
  </si>
  <si>
    <t>Gate 5</t>
  </si>
  <si>
    <t>Build a Ballotin card: build or remove</t>
  </si>
  <si>
    <t>Founder/Trader</t>
  </si>
  <si>
    <t>Open Decisions #2</t>
  </si>
  <si>
    <t>Gate 1</t>
  </si>
  <si>
    <t>Collection PLP (All / Gifts / Pralines &amp; Truffles / Gift Boxes)</t>
  </si>
  <si>
    <t>Product card: badges, piece count, price, quick add, wishlist (if kept)</t>
  </si>
  <si>
    <t>Metafields loaded</t>
  </si>
  <si>
    <t>Filter sets per collection per filter matrix, not all 8 groups</t>
  </si>
  <si>
    <t>Confirm per-collection filter support</t>
  </si>
  <si>
    <t>Price filter: buckets (matrix) vs slider (design)</t>
  </si>
  <si>
    <t>Open Decisions #5</t>
  </si>
  <si>
    <t>Category chips (Ballotins, Gift Boxes, Small Gifts...)</t>
  </si>
  <si>
    <t>Collections created</t>
  </si>
  <si>
    <t>Gifting strip, trust strip, FAQ, related collections blocks</t>
  </si>
  <si>
    <t>Copy approved</t>
  </si>
  <si>
    <t>Vegan &amp; Conscious landing</t>
  </si>
  <si>
    <t>Vegan hero, 5 claim tiles, vegan product carousel</t>
  </si>
  <si>
    <t>Vegan SKUs loaded</t>
  </si>
  <si>
    <t>Claim badges driven by vegan/organic/fairtrade/palm-oil metafields</t>
  </si>
  <si>
    <t>Supplier proof on file</t>
  </si>
  <si>
    <t>Remove Organic/Fair Trade/No palm oil tiles unless proven per SKU</t>
  </si>
  <si>
    <t>Content</t>
  </si>
  <si>
    <t>Claims audit</t>
  </si>
  <si>
    <t>Corporate Gifting landing</t>
  </si>
  <si>
    <t>Use-case cards, format cards, personalisation row, delivery strip</t>
  </si>
  <si>
    <t>Scope decision (Open Decisions #6)</t>
  </si>
  <si>
    <t>Inline quote form (name, email, company, use case, qty, date, notes)</t>
  </si>
  <si>
    <t>App/Custom</t>
  </si>
  <si>
    <t>Quote routing decided</t>
  </si>
  <si>
    <t>Logo upload field: accepted file types, size limit, artwork approval flow</t>
  </si>
  <si>
    <t>Upload app chosen</t>
  </si>
  <si>
    <t>Client logos and testimonial: only with written permission</t>
  </si>
  <si>
    <t>Founder</t>
  </si>
  <si>
    <t>Permission obtained</t>
  </si>
  <si>
    <t>Design and build page (not yet designed): MOQ, sample pack CTA, quote CTA</t>
  </si>
  <si>
    <t>Design/Theme</t>
  </si>
  <si>
    <t>MOQ and sample pack offer</t>
  </si>
  <si>
    <t>Product detail page</t>
  </si>
  <si>
    <t>Gallery (4 views), price + badges, piece count + net weight</t>
  </si>
  <si>
    <t>Gift message option (PDP and cart)</t>
  </si>
  <si>
    <t>App</t>
  </si>
  <si>
    <t>Gift message rules</t>
  </si>
  <si>
    <t>Delivery date estimate + warm weather notice from metafields</t>
  </si>
  <si>
    <t>Heat threshold, cut-offs, blackout dates</t>
  </si>
  <si>
    <t>Allergen summary near Add to Cart (not only in tab)</t>
  </si>
  <si>
    <t>Allergen data per SKU</t>
  </si>
  <si>
    <t>5 tabs from metafields: Inside the Box, Flavour, Ingredients &amp; Allergens, Delivery &amp; Care, Gifting &amp; Corporate</t>
  </si>
  <si>
    <t>Content per SKU</t>
  </si>
  <si>
    <t>Related products logic: small add-on, premium upgrade, vegan alt, corporate-eligible</t>
  </si>
  <si>
    <t>Search &amp; Discovery recs</t>
  </si>
  <si>
    <t>Request a Quote (standalone)</t>
  </si>
  <si>
    <t>Standalone quote page (not yet designed) reusing inline form</t>
  </si>
  <si>
    <t>Delivery / Warm Weather</t>
  </si>
  <si>
    <t>Design and build shipping, delivery calendar, warm weather, returns pages</t>
  </si>
  <si>
    <t>Shipping rules</t>
  </si>
  <si>
    <t>Delivery date picker app evaluated against heat rules</t>
  </si>
  <si>
    <t>Shopify Developer/Trader</t>
  </si>
  <si>
    <t>Rules defined first</t>
  </si>
  <si>
    <t>Courier/label app (Sendcloud, ShipStation) configured</t>
  </si>
  <si>
    <t>Courier and fulfilment model</t>
  </si>
  <si>
    <t>Trading data</t>
  </si>
  <si>
    <t>Final SKU list, variants, pricing bands, margins</t>
  </si>
  <si>
    <t>Strategy sign-off</t>
  </si>
  <si>
    <t>Per-SKU content: ingredients, allergens, shelf life, storage, claims, lead time</t>
  </si>
  <si>
    <t>Supplier data</t>
  </si>
  <si>
    <t>Shipping zones, cut-offs, blackout dates, heat threshold, cold pack, damage policy</t>
  </si>
  <si>
    <t>Courier choice</t>
  </si>
  <si>
    <t>SEO</t>
  </si>
  <si>
    <t>Meta titles/descriptions per sitemap page, canonical rules, schema</t>
  </si>
  <si>
    <t>Sitemap approved</t>
  </si>
  <si>
    <t>301 redirects from Redirects sheet, filter canonicals</t>
  </si>
  <si>
    <t>SEO Specialist/Developer</t>
  </si>
  <si>
    <t>Final URLs</t>
  </si>
  <si>
    <t>Submit sitemap.xml to GSC after launch</t>
  </si>
  <si>
    <t>Launch</t>
  </si>
  <si>
    <t>Post-launch</t>
  </si>
  <si>
    <t>Analytics</t>
  </si>
  <si>
    <t>Implement 14 GA4 events (collection, filter, search, gift message, delivery date, quote, logo upload, purchase)</t>
  </si>
  <si>
    <t>Shopify Developer/SEO</t>
  </si>
  <si>
    <t>Before soft launch</t>
  </si>
  <si>
    <t>QA</t>
  </si>
  <si>
    <t>Mobile, checkout, filters, forms, delivery, analytics QA</t>
  </si>
  <si>
    <t>All</t>
  </si>
  <si>
    <t>Build complete</t>
  </si>
  <si>
    <t>Launch gate</t>
  </si>
  <si>
    <t>Who decides</t>
  </si>
  <si>
    <t>Needed by</t>
  </si>
  <si>
    <t>Note</t>
  </si>
  <si>
    <t>Answer</t>
  </si>
  <si>
    <t>Navigation: follow brief (Shop, Gifts, Corporate Gifts, Vegan &amp; Conscious, Our Chocolate, Delivery, About) or the design (adds "Pralines &amp; Ballotins", drops Delivery)?</t>
  </si>
  <si>
    <t>Founder/UX Designer</t>
  </si>
  <si>
    <t>Recommend brief structure; add Delivery to design</t>
  </si>
  <si>
    <t>Build a Ballotin box builder: in launch scope?</t>
  </si>
  <si>
    <t>No brief, CSV or schema covers it; needs app/dev</t>
  </si>
  <si>
    <t>Replace with verified or remove</t>
  </si>
  <si>
    <t>Which claims are provable per SKU: vegan, organic, Fairtrade, no palm oil?</t>
  </si>
  <si>
    <t>Trader/SEO</t>
  </si>
  <si>
    <t>Add palm_oil_free metafield if kept</t>
  </si>
  <si>
    <t>Price filter: slider (design) or buckets (filter matrix)?</t>
  </si>
  <si>
    <t>UX Designer/Trader</t>
  </si>
  <si>
    <t>Matrix says buckets</t>
  </si>
  <si>
    <t>Corporate scope: Seasonal/Hospitality use cases, multiple addresses, invoice support, courier integration?</t>
  </si>
  <si>
    <t>Trader</t>
  </si>
  <si>
    <t>Multi-address needs an app</t>
  </si>
  <si>
    <t>Small gift entry price: under €15 (design) or under €25 (assortment)?</t>
  </si>
  <si>
    <t>Align copy and filter</t>
  </si>
  <si>
    <t>Delivery promise "1-2 business days": is it deliverable under heat rules?</t>
  </si>
  <si>
    <t>Do not publish until confirmed</t>
  </si>
  <si>
    <t>Shopify plan: Plus or not (checkout extensions)?</t>
  </si>
  <si>
    <t>Drives gift message/delivery date placement</t>
  </si>
  <si>
    <t>Quotes feed: email, CRM or Shopify draft orders?</t>
  </si>
  <si>
    <t>Developer/Trader</t>
  </si>
  <si>
    <t>Needed to pick quote app</t>
  </si>
  <si>
    <t>Delivery page: one page or two (shipping-and-delivery + warm-weather-shipping)?</t>
  </si>
  <si>
    <t>Sitemap has two; UX brief says one</t>
  </si>
  <si>
    <t>Wishlist hearts on product cards: keep? (app needed, not in briefs)</t>
  </si>
  <si>
    <t>UX Designer</t>
  </si>
  <si>
    <t>Optional</t>
  </si>
  <si>
    <t>Brand name and contact details: replace placeholder Maison Atelier Praline, phone, email, © 2024</t>
  </si>
  <si>
    <t>Placeholder data in mockups</t>
  </si>
  <si>
    <t>Do 12,000+ reviews, "since 1956", and client logos have real backing?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</si>
</sst>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3B2A24"/>
        <bgColor rgb="FF333300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FFF2CC"/>
      </patternFill>
    </fill>
  </fills>
  <borders count="2">
    <border>
      <left/>
      <right/>
      <top/>
      <bottom/>
      <diagonal/>
    </border>
    <border>
      <left style="thin">
        <color rgb="FFD9CFC7"/>
      </left>
      <right style="thin">
        <color rgb="FFD9CFC7"/>
      </right>
      <top style="thin">
        <color rgb="FFD9CFC7"/>
      </top>
      <bottom style="thin">
        <color rgb="FFD9CFC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A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0"/>
  <sheetViews>
    <sheetView zoomScaleNormal="100" workbookViewId="0">
      <selection activeCell="E23" sqref="E23"/>
    </sheetView>
  </sheetViews>
  <sheetFormatPr defaultColWidth="8.6328125" defaultRowHeight="14.5" x14ac:dyDescent="0.35"/>
  <cols>
    <col min="1" max="1" width="60" customWidth="1"/>
    <col min="2" max="2" width="12" customWidth="1"/>
  </cols>
  <sheetData>
    <row r="2" spans="1:2" x14ac:dyDescent="0.35">
      <c r="A2" s="1" t="s">
        <v>0</v>
      </c>
      <c r="B2" s="1" t="s">
        <v>1</v>
      </c>
    </row>
    <row r="3" spans="1:2" x14ac:dyDescent="0.35">
      <c r="A3" s="2" t="s">
        <v>2</v>
      </c>
      <c r="B3" s="3">
        <f>COUNTA(Sitemap!A2:A200)</f>
        <v>45</v>
      </c>
    </row>
    <row r="4" spans="1:2" x14ac:dyDescent="0.35">
      <c r="A4" s="3" t="s">
        <v>3</v>
      </c>
      <c r="B4" s="3">
        <f>COUNTIF(Sitemap!I2:I200,"Added")</f>
        <v>8</v>
      </c>
    </row>
    <row r="5" spans="1:2" x14ac:dyDescent="0.35">
      <c r="A5" s="3" t="s">
        <v>4</v>
      </c>
      <c r="B5" s="3">
        <f>COUNTIF(Sitemap!I2:I200,"Modified")</f>
        <v>4</v>
      </c>
    </row>
    <row r="6" spans="1:2" x14ac:dyDescent="0.35">
      <c r="A6" s="3" t="s">
        <v>5</v>
      </c>
      <c r="B6" s="3">
        <f>COUNTIF(Sitemap!I2:I200,"Redirect")</f>
        <v>2</v>
      </c>
    </row>
    <row r="7" spans="1:2" x14ac:dyDescent="0.35">
      <c r="A7" s="3" t="s">
        <v>6</v>
      </c>
      <c r="B7" s="3">
        <f>COUNTIF(Sitemap!I2:I200,"Decision")</f>
        <v>1</v>
      </c>
    </row>
    <row r="8" spans="1:2" x14ac:dyDescent="0.35">
      <c r="A8" s="2" t="s">
        <v>7</v>
      </c>
      <c r="B8" s="3">
        <f>COUNTA(Navigation!A2:A200)</f>
        <v>40</v>
      </c>
    </row>
    <row r="9" spans="1:2" x14ac:dyDescent="0.35">
      <c r="A9" s="3" t="s">
        <v>8</v>
      </c>
      <c r="B9" s="3">
        <f>COUNTIF(Navigation!H2:H200,"Added")</f>
        <v>6</v>
      </c>
    </row>
    <row r="10" spans="1:2" x14ac:dyDescent="0.35">
      <c r="A10" s="2" t="s">
        <v>9</v>
      </c>
      <c r="B10" s="3">
        <f>COUNTA('Build Checklist'!A2:A200)</f>
        <v>43</v>
      </c>
    </row>
    <row r="11" spans="1:2" x14ac:dyDescent="0.35">
      <c r="A11" s="3" t="s">
        <v>10</v>
      </c>
      <c r="B11" s="3">
        <f>COUNTIF('Build Checklist'!H2:H200,"Done")</f>
        <v>0</v>
      </c>
    </row>
    <row r="12" spans="1:2" x14ac:dyDescent="0.35">
      <c r="A12" s="3" t="s">
        <v>11</v>
      </c>
      <c r="B12" s="3">
        <f>COUNTIF('Build Checklist'!H2:H200,"Blocked")</f>
        <v>0</v>
      </c>
    </row>
    <row r="13" spans="1:2" x14ac:dyDescent="0.35">
      <c r="A13" s="2" t="s">
        <v>12</v>
      </c>
      <c r="B13" s="3">
        <f>COUNTA('Open Decisions'!A2:A200)</f>
        <v>13</v>
      </c>
    </row>
    <row r="14" spans="1:2" x14ac:dyDescent="0.35">
      <c r="A14" s="3" t="s">
        <v>13</v>
      </c>
      <c r="B14" s="3">
        <f>COUNTA('Open Decisions'!B2:B200)-COUNTA('Open Decisions'!F2:F200)</f>
        <v>13</v>
      </c>
    </row>
    <row r="16" spans="1:2" x14ac:dyDescent="0.35">
      <c r="A16" s="2" t="s">
        <v>14</v>
      </c>
    </row>
    <row r="17" spans="1:1" x14ac:dyDescent="0.35">
      <c r="A17" s="3" t="s">
        <v>15</v>
      </c>
    </row>
    <row r="18" spans="1:1" x14ac:dyDescent="0.35">
      <c r="A18" s="3" t="s">
        <v>16</v>
      </c>
    </row>
    <row r="19" spans="1:1" x14ac:dyDescent="0.35">
      <c r="A19" s="3" t="s">
        <v>17</v>
      </c>
    </row>
    <row r="20" spans="1:1" x14ac:dyDescent="0.35">
      <c r="A20" s="3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zoomScaleNormal="100" workbookViewId="0">
      <pane ySplit="1" topLeftCell="A21" activePane="bottomLeft" state="frozen"/>
      <selection pane="bottomLeft"/>
    </sheetView>
  </sheetViews>
  <sheetFormatPr defaultColWidth="8.6328125" defaultRowHeight="14.5" x14ac:dyDescent="0.35"/>
  <cols>
    <col min="1" max="1" width="38" customWidth="1"/>
    <col min="2" max="2" width="18" customWidth="1"/>
    <col min="3" max="3" width="16" customWidth="1"/>
    <col min="4" max="4" width="24" customWidth="1"/>
    <col min="5" max="5" width="40" customWidth="1"/>
    <col min="6" max="6" width="22" customWidth="1"/>
    <col min="7" max="7" width="18" customWidth="1"/>
    <col min="8" max="8" width="44" customWidth="1"/>
    <col min="9" max="9" width="12" customWidth="1"/>
    <col min="10" max="10" width="52" customWidth="1"/>
  </cols>
  <sheetData>
    <row r="1" spans="1:10" x14ac:dyDescent="0.3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</row>
    <row r="2" spans="1:10" ht="25" x14ac:dyDescent="0.35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31</v>
      </c>
      <c r="H2" s="5" t="s">
        <v>35</v>
      </c>
      <c r="I2" s="5" t="s">
        <v>36</v>
      </c>
      <c r="J2" s="5"/>
    </row>
    <row r="3" spans="1:10" x14ac:dyDescent="0.35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34</v>
      </c>
      <c r="G3" s="5" t="s">
        <v>42</v>
      </c>
      <c r="H3" s="5" t="s">
        <v>43</v>
      </c>
      <c r="I3" s="5" t="s">
        <v>36</v>
      </c>
      <c r="J3" s="5"/>
    </row>
    <row r="4" spans="1:10" ht="25" x14ac:dyDescent="0.35">
      <c r="A4" s="5" t="s">
        <v>44</v>
      </c>
      <c r="B4" s="5" t="s">
        <v>38</v>
      </c>
      <c r="C4" s="5" t="s">
        <v>39</v>
      </c>
      <c r="D4" s="5" t="s">
        <v>40</v>
      </c>
      <c r="E4" s="5" t="s">
        <v>45</v>
      </c>
      <c r="F4" s="5" t="s">
        <v>34</v>
      </c>
      <c r="G4" s="5" t="s">
        <v>42</v>
      </c>
      <c r="H4" s="5" t="s">
        <v>46</v>
      </c>
      <c r="I4" s="5" t="s">
        <v>36</v>
      </c>
      <c r="J4" s="5"/>
    </row>
    <row r="5" spans="1:10" x14ac:dyDescent="0.35">
      <c r="A5" s="5" t="s">
        <v>47</v>
      </c>
      <c r="B5" s="5" t="s">
        <v>38</v>
      </c>
      <c r="C5" s="5" t="s">
        <v>39</v>
      </c>
      <c r="D5" s="5" t="s">
        <v>40</v>
      </c>
      <c r="E5" s="5" t="s">
        <v>48</v>
      </c>
      <c r="F5" s="5" t="s">
        <v>34</v>
      </c>
      <c r="G5" s="5" t="s">
        <v>42</v>
      </c>
      <c r="H5" s="5" t="s">
        <v>49</v>
      </c>
      <c r="I5" s="5" t="s">
        <v>36</v>
      </c>
      <c r="J5" s="5"/>
    </row>
    <row r="6" spans="1:10" x14ac:dyDescent="0.35">
      <c r="A6" s="5" t="s">
        <v>50</v>
      </c>
      <c r="B6" s="5" t="s">
        <v>51</v>
      </c>
      <c r="C6" s="5" t="s">
        <v>39</v>
      </c>
      <c r="D6" s="5" t="s">
        <v>40</v>
      </c>
      <c r="E6" s="5" t="s">
        <v>52</v>
      </c>
      <c r="F6" s="5" t="s">
        <v>34</v>
      </c>
      <c r="G6" s="5" t="s">
        <v>42</v>
      </c>
      <c r="H6" s="5" t="s">
        <v>53</v>
      </c>
      <c r="I6" s="5" t="s">
        <v>36</v>
      </c>
      <c r="J6" s="5"/>
    </row>
    <row r="7" spans="1:10" x14ac:dyDescent="0.35">
      <c r="A7" s="5" t="s">
        <v>54</v>
      </c>
      <c r="B7" s="5" t="s">
        <v>38</v>
      </c>
      <c r="C7" s="5" t="s">
        <v>39</v>
      </c>
      <c r="D7" s="5" t="s">
        <v>40</v>
      </c>
      <c r="E7" s="5" t="s">
        <v>55</v>
      </c>
      <c r="F7" s="5" t="s">
        <v>56</v>
      </c>
      <c r="G7" s="5" t="s">
        <v>42</v>
      </c>
      <c r="H7" s="5" t="s">
        <v>57</v>
      </c>
      <c r="I7" s="5" t="s">
        <v>36</v>
      </c>
      <c r="J7" s="5"/>
    </row>
    <row r="8" spans="1:10" ht="25" x14ac:dyDescent="0.35">
      <c r="A8" s="6" t="s">
        <v>58</v>
      </c>
      <c r="B8" s="6" t="s">
        <v>51</v>
      </c>
      <c r="C8" s="6" t="s">
        <v>39</v>
      </c>
      <c r="D8" s="6" t="s">
        <v>40</v>
      </c>
      <c r="E8" s="6" t="s">
        <v>59</v>
      </c>
      <c r="F8" s="6" t="s">
        <v>34</v>
      </c>
      <c r="G8" s="6" t="s">
        <v>42</v>
      </c>
      <c r="H8" s="6" t="s">
        <v>60</v>
      </c>
      <c r="I8" s="6" t="s">
        <v>61</v>
      </c>
      <c r="J8" s="6" t="s">
        <v>62</v>
      </c>
    </row>
    <row r="9" spans="1:10" x14ac:dyDescent="0.35">
      <c r="A9" s="5" t="s">
        <v>63</v>
      </c>
      <c r="B9" s="5" t="s">
        <v>51</v>
      </c>
      <c r="C9" s="5" t="s">
        <v>39</v>
      </c>
      <c r="D9" s="5" t="s">
        <v>40</v>
      </c>
      <c r="E9" s="5" t="s">
        <v>64</v>
      </c>
      <c r="F9" s="5" t="s">
        <v>34</v>
      </c>
      <c r="G9" s="5" t="s">
        <v>42</v>
      </c>
      <c r="H9" s="5" t="s">
        <v>65</v>
      </c>
      <c r="I9" s="5" t="s">
        <v>36</v>
      </c>
      <c r="J9" s="5"/>
    </row>
    <row r="10" spans="1:10" x14ac:dyDescent="0.35">
      <c r="A10" s="5" t="s">
        <v>66</v>
      </c>
      <c r="B10" s="5" t="s">
        <v>38</v>
      </c>
      <c r="C10" s="5" t="s">
        <v>39</v>
      </c>
      <c r="D10" s="5" t="s">
        <v>40</v>
      </c>
      <c r="E10" s="5" t="s">
        <v>67</v>
      </c>
      <c r="F10" s="5" t="s">
        <v>56</v>
      </c>
      <c r="G10" s="5" t="s">
        <v>42</v>
      </c>
      <c r="H10" s="5" t="s">
        <v>68</v>
      </c>
      <c r="I10" s="5" t="s">
        <v>36</v>
      </c>
      <c r="J10" s="5"/>
    </row>
    <row r="11" spans="1:10" x14ac:dyDescent="0.35">
      <c r="A11" s="5" t="s">
        <v>69</v>
      </c>
      <c r="B11" s="5" t="s">
        <v>51</v>
      </c>
      <c r="C11" s="5" t="s">
        <v>39</v>
      </c>
      <c r="D11" s="5" t="s">
        <v>40</v>
      </c>
      <c r="E11" s="5" t="s">
        <v>70</v>
      </c>
      <c r="F11" s="5" t="s">
        <v>56</v>
      </c>
      <c r="G11" s="5" t="s">
        <v>42</v>
      </c>
      <c r="H11" s="5" t="s">
        <v>71</v>
      </c>
      <c r="I11" s="5" t="s">
        <v>36</v>
      </c>
      <c r="J11" s="5"/>
    </row>
    <row r="12" spans="1:10" x14ac:dyDescent="0.35">
      <c r="A12" s="5" t="s">
        <v>72</v>
      </c>
      <c r="B12" s="5" t="s">
        <v>73</v>
      </c>
      <c r="C12" s="5" t="s">
        <v>39</v>
      </c>
      <c r="D12" s="5" t="s">
        <v>40</v>
      </c>
      <c r="E12" s="5" t="s">
        <v>74</v>
      </c>
      <c r="F12" s="5" t="s">
        <v>56</v>
      </c>
      <c r="G12" s="5" t="s">
        <v>75</v>
      </c>
      <c r="H12" s="5" t="s">
        <v>76</v>
      </c>
      <c r="I12" s="5" t="s">
        <v>36</v>
      </c>
      <c r="J12" s="5"/>
    </row>
    <row r="13" spans="1:10" x14ac:dyDescent="0.35">
      <c r="A13" s="5" t="s">
        <v>77</v>
      </c>
      <c r="B13" s="5" t="s">
        <v>73</v>
      </c>
      <c r="C13" s="5" t="s">
        <v>39</v>
      </c>
      <c r="D13" s="5" t="s">
        <v>40</v>
      </c>
      <c r="E13" s="5" t="s">
        <v>74</v>
      </c>
      <c r="F13" s="5" t="s">
        <v>34</v>
      </c>
      <c r="G13" s="5" t="s">
        <v>75</v>
      </c>
      <c r="H13" s="5" t="s">
        <v>78</v>
      </c>
      <c r="I13" s="5" t="s">
        <v>36</v>
      </c>
      <c r="J13" s="5"/>
    </row>
    <row r="14" spans="1:10" x14ac:dyDescent="0.35">
      <c r="A14" s="5" t="s">
        <v>79</v>
      </c>
      <c r="B14" s="5" t="s">
        <v>73</v>
      </c>
      <c r="C14" s="5" t="s">
        <v>39</v>
      </c>
      <c r="D14" s="5" t="s">
        <v>40</v>
      </c>
      <c r="E14" s="5" t="s">
        <v>74</v>
      </c>
      <c r="F14" s="5" t="s">
        <v>56</v>
      </c>
      <c r="G14" s="5" t="s">
        <v>75</v>
      </c>
      <c r="H14" s="5" t="s">
        <v>80</v>
      </c>
      <c r="I14" s="5" t="s">
        <v>36</v>
      </c>
      <c r="J14" s="5"/>
    </row>
    <row r="15" spans="1:10" x14ac:dyDescent="0.35">
      <c r="A15" s="5" t="s">
        <v>81</v>
      </c>
      <c r="B15" s="5" t="s">
        <v>73</v>
      </c>
      <c r="C15" s="5" t="s">
        <v>39</v>
      </c>
      <c r="D15" s="5" t="s">
        <v>40</v>
      </c>
      <c r="E15" s="5" t="s">
        <v>82</v>
      </c>
      <c r="F15" s="5" t="s">
        <v>56</v>
      </c>
      <c r="G15" s="5" t="s">
        <v>75</v>
      </c>
      <c r="H15" s="5" t="s">
        <v>83</v>
      </c>
      <c r="I15" s="5" t="s">
        <v>36</v>
      </c>
      <c r="J15" s="5"/>
    </row>
    <row r="16" spans="1:10" ht="37.5" x14ac:dyDescent="0.35">
      <c r="A16" s="6" t="s">
        <v>84</v>
      </c>
      <c r="B16" s="6" t="s">
        <v>85</v>
      </c>
      <c r="C16" s="6" t="s">
        <v>39</v>
      </c>
      <c r="D16" s="6" t="s">
        <v>40</v>
      </c>
      <c r="E16" s="6" t="s">
        <v>86</v>
      </c>
      <c r="F16" s="6" t="s">
        <v>34</v>
      </c>
      <c r="G16" s="6" t="s">
        <v>87</v>
      </c>
      <c r="H16" s="6" t="s">
        <v>88</v>
      </c>
      <c r="I16" s="6" t="s">
        <v>61</v>
      </c>
      <c r="J16" s="6" t="s">
        <v>89</v>
      </c>
    </row>
    <row r="17" spans="1:10" x14ac:dyDescent="0.35">
      <c r="A17" s="5" t="s">
        <v>90</v>
      </c>
      <c r="B17" s="5" t="s">
        <v>85</v>
      </c>
      <c r="C17" s="5" t="s">
        <v>39</v>
      </c>
      <c r="D17" s="5" t="s">
        <v>91</v>
      </c>
      <c r="E17" s="5" t="s">
        <v>92</v>
      </c>
      <c r="F17" s="5" t="s">
        <v>93</v>
      </c>
      <c r="G17" s="5" t="s">
        <v>42</v>
      </c>
      <c r="H17" s="5" t="s">
        <v>94</v>
      </c>
      <c r="I17" s="5" t="s">
        <v>36</v>
      </c>
      <c r="J17" s="5"/>
    </row>
    <row r="18" spans="1:10" x14ac:dyDescent="0.35">
      <c r="A18" s="5" t="s">
        <v>95</v>
      </c>
      <c r="B18" s="5" t="s">
        <v>85</v>
      </c>
      <c r="C18" s="5" t="s">
        <v>39</v>
      </c>
      <c r="D18" s="5" t="s">
        <v>91</v>
      </c>
      <c r="E18" s="5" t="s">
        <v>92</v>
      </c>
      <c r="F18" s="5" t="s">
        <v>93</v>
      </c>
      <c r="G18" s="5" t="s">
        <v>42</v>
      </c>
      <c r="H18" s="5" t="s">
        <v>94</v>
      </c>
      <c r="I18" s="5" t="s">
        <v>36</v>
      </c>
      <c r="J18" s="5"/>
    </row>
    <row r="19" spans="1:10" ht="25" x14ac:dyDescent="0.35">
      <c r="A19" s="5" t="s">
        <v>96</v>
      </c>
      <c r="B19" s="5" t="s">
        <v>85</v>
      </c>
      <c r="C19" s="5" t="s">
        <v>39</v>
      </c>
      <c r="D19" s="5" t="s">
        <v>40</v>
      </c>
      <c r="E19" s="5" t="s">
        <v>97</v>
      </c>
      <c r="F19" s="5" t="s">
        <v>98</v>
      </c>
      <c r="G19" s="5" t="s">
        <v>42</v>
      </c>
      <c r="H19" s="5" t="s">
        <v>99</v>
      </c>
      <c r="I19" s="5" t="s">
        <v>36</v>
      </c>
      <c r="J19" s="5"/>
    </row>
    <row r="20" spans="1:10" x14ac:dyDescent="0.35">
      <c r="A20" s="5" t="s">
        <v>100</v>
      </c>
      <c r="B20" s="5" t="s">
        <v>101</v>
      </c>
      <c r="C20" s="5" t="s">
        <v>39</v>
      </c>
      <c r="D20" s="5" t="s">
        <v>40</v>
      </c>
      <c r="E20" s="5" t="s">
        <v>102</v>
      </c>
      <c r="F20" s="5" t="s">
        <v>34</v>
      </c>
      <c r="G20" s="5" t="s">
        <v>103</v>
      </c>
      <c r="H20" s="5" t="s">
        <v>104</v>
      </c>
      <c r="I20" s="5" t="s">
        <v>36</v>
      </c>
      <c r="J20" s="5"/>
    </row>
    <row r="21" spans="1:10" ht="25" x14ac:dyDescent="0.35">
      <c r="A21" s="6" t="s">
        <v>105</v>
      </c>
      <c r="B21" s="6" t="s">
        <v>101</v>
      </c>
      <c r="C21" s="6" t="s">
        <v>106</v>
      </c>
      <c r="D21" s="6" t="s">
        <v>32</v>
      </c>
      <c r="E21" s="6" t="s">
        <v>107</v>
      </c>
      <c r="F21" s="6" t="s">
        <v>34</v>
      </c>
      <c r="G21" s="6" t="s">
        <v>108</v>
      </c>
      <c r="H21" s="6" t="s">
        <v>109</v>
      </c>
      <c r="I21" s="6" t="s">
        <v>61</v>
      </c>
      <c r="J21" s="6" t="s">
        <v>110</v>
      </c>
    </row>
    <row r="22" spans="1:10" x14ac:dyDescent="0.35">
      <c r="A22" s="5" t="s">
        <v>111</v>
      </c>
      <c r="B22" s="5" t="s">
        <v>101</v>
      </c>
      <c r="C22" s="5" t="s">
        <v>106</v>
      </c>
      <c r="D22" s="5" t="s">
        <v>32</v>
      </c>
      <c r="E22" s="5" t="s">
        <v>112</v>
      </c>
      <c r="F22" s="5" t="s">
        <v>34</v>
      </c>
      <c r="G22" s="5" t="s">
        <v>108</v>
      </c>
      <c r="H22" s="5" t="s">
        <v>113</v>
      </c>
      <c r="I22" s="5" t="s">
        <v>36</v>
      </c>
      <c r="J22" s="5"/>
    </row>
    <row r="23" spans="1:10" x14ac:dyDescent="0.35">
      <c r="A23" s="5" t="s">
        <v>114</v>
      </c>
      <c r="B23" s="5" t="s">
        <v>101</v>
      </c>
      <c r="C23" s="5" t="s">
        <v>106</v>
      </c>
      <c r="D23" s="5" t="s">
        <v>40</v>
      </c>
      <c r="E23" s="5" t="s">
        <v>115</v>
      </c>
      <c r="F23" s="5" t="s">
        <v>56</v>
      </c>
      <c r="G23" s="5" t="s">
        <v>108</v>
      </c>
      <c r="H23" s="5" t="s">
        <v>116</v>
      </c>
      <c r="I23" s="5" t="s">
        <v>36</v>
      </c>
      <c r="J23" s="5"/>
    </row>
    <row r="24" spans="1:10" x14ac:dyDescent="0.35">
      <c r="A24" s="5" t="s">
        <v>117</v>
      </c>
      <c r="B24" s="5" t="s">
        <v>101</v>
      </c>
      <c r="C24" s="5" t="s">
        <v>106</v>
      </c>
      <c r="D24" s="5" t="s">
        <v>40</v>
      </c>
      <c r="E24" s="5" t="s">
        <v>115</v>
      </c>
      <c r="F24" s="5" t="s">
        <v>56</v>
      </c>
      <c r="G24" s="5" t="s">
        <v>108</v>
      </c>
      <c r="H24" s="5" t="s">
        <v>118</v>
      </c>
      <c r="I24" s="5" t="s">
        <v>36</v>
      </c>
      <c r="J24" s="5"/>
    </row>
    <row r="25" spans="1:10" x14ac:dyDescent="0.35">
      <c r="A25" s="5" t="s">
        <v>119</v>
      </c>
      <c r="B25" s="5" t="s">
        <v>101</v>
      </c>
      <c r="C25" s="5" t="s">
        <v>120</v>
      </c>
      <c r="D25" s="5" t="s">
        <v>121</v>
      </c>
      <c r="E25" s="5" t="s">
        <v>122</v>
      </c>
      <c r="F25" s="5" t="s">
        <v>34</v>
      </c>
      <c r="G25" s="5" t="s">
        <v>123</v>
      </c>
      <c r="H25" s="5" t="s">
        <v>124</v>
      </c>
      <c r="I25" s="5" t="s">
        <v>36</v>
      </c>
      <c r="J25" s="5"/>
    </row>
    <row r="26" spans="1:10" x14ac:dyDescent="0.35">
      <c r="A26" s="5" t="s">
        <v>125</v>
      </c>
      <c r="B26" s="5" t="s">
        <v>101</v>
      </c>
      <c r="C26" s="5" t="s">
        <v>120</v>
      </c>
      <c r="D26" s="5" t="s">
        <v>121</v>
      </c>
      <c r="E26" s="5" t="s">
        <v>126</v>
      </c>
      <c r="F26" s="5" t="s">
        <v>34</v>
      </c>
      <c r="G26" s="5" t="s">
        <v>127</v>
      </c>
      <c r="H26" s="5" t="s">
        <v>128</v>
      </c>
      <c r="I26" s="5" t="s">
        <v>36</v>
      </c>
      <c r="J26" s="5"/>
    </row>
    <row r="27" spans="1:10" x14ac:dyDescent="0.35">
      <c r="A27" s="5" t="s">
        <v>129</v>
      </c>
      <c r="B27" s="5" t="s">
        <v>130</v>
      </c>
      <c r="C27" s="5" t="s">
        <v>131</v>
      </c>
      <c r="D27" s="5" t="s">
        <v>132</v>
      </c>
      <c r="E27" s="5" t="s">
        <v>133</v>
      </c>
      <c r="F27" s="5" t="s">
        <v>34</v>
      </c>
      <c r="G27" s="5" t="s">
        <v>134</v>
      </c>
      <c r="H27" s="5" t="s">
        <v>135</v>
      </c>
      <c r="I27" s="5" t="s">
        <v>36</v>
      </c>
      <c r="J27" s="5"/>
    </row>
    <row r="28" spans="1:10" ht="25" x14ac:dyDescent="0.35">
      <c r="A28" s="6" t="s">
        <v>136</v>
      </c>
      <c r="B28" s="6" t="s">
        <v>130</v>
      </c>
      <c r="C28" s="6" t="s">
        <v>137</v>
      </c>
      <c r="D28" s="6" t="s">
        <v>138</v>
      </c>
      <c r="E28" s="6" t="s">
        <v>139</v>
      </c>
      <c r="F28" s="6" t="s">
        <v>34</v>
      </c>
      <c r="G28" s="6" t="s">
        <v>134</v>
      </c>
      <c r="H28" s="6" t="s">
        <v>140</v>
      </c>
      <c r="I28" s="6" t="s">
        <v>61</v>
      </c>
      <c r="J28" s="6" t="s">
        <v>141</v>
      </c>
    </row>
    <row r="29" spans="1:10" x14ac:dyDescent="0.35">
      <c r="A29" s="5" t="s">
        <v>142</v>
      </c>
      <c r="B29" s="5" t="s">
        <v>130</v>
      </c>
      <c r="C29" s="5" t="s">
        <v>137</v>
      </c>
      <c r="D29" s="5" t="s">
        <v>143</v>
      </c>
      <c r="E29" s="5" t="s">
        <v>144</v>
      </c>
      <c r="F29" s="5" t="s">
        <v>93</v>
      </c>
      <c r="G29" s="5" t="s">
        <v>134</v>
      </c>
      <c r="H29" s="5" t="s">
        <v>145</v>
      </c>
      <c r="I29" s="5" t="s">
        <v>36</v>
      </c>
      <c r="J29" s="5"/>
    </row>
    <row r="30" spans="1:10" x14ac:dyDescent="0.35">
      <c r="A30" s="5" t="s">
        <v>146</v>
      </c>
      <c r="B30" s="5" t="s">
        <v>130</v>
      </c>
      <c r="C30" s="5" t="s">
        <v>137</v>
      </c>
      <c r="D30" s="5" t="s">
        <v>40</v>
      </c>
      <c r="E30" s="5" t="s">
        <v>147</v>
      </c>
      <c r="F30" s="5" t="s">
        <v>34</v>
      </c>
      <c r="G30" s="5" t="s">
        <v>148</v>
      </c>
      <c r="H30" s="5" t="s">
        <v>149</v>
      </c>
      <c r="I30" s="5" t="s">
        <v>36</v>
      </c>
      <c r="J30" s="5"/>
    </row>
    <row r="31" spans="1:10" ht="25" x14ac:dyDescent="0.35">
      <c r="A31" s="5" t="s">
        <v>150</v>
      </c>
      <c r="B31" s="5" t="s">
        <v>151</v>
      </c>
      <c r="C31" s="5" t="s">
        <v>152</v>
      </c>
      <c r="D31" s="5" t="s">
        <v>153</v>
      </c>
      <c r="E31" s="5" t="s">
        <v>154</v>
      </c>
      <c r="F31" s="5" t="s">
        <v>34</v>
      </c>
      <c r="G31" s="5" t="s">
        <v>155</v>
      </c>
      <c r="H31" s="5" t="s">
        <v>156</v>
      </c>
      <c r="I31" s="5" t="s">
        <v>36</v>
      </c>
      <c r="J31" s="5"/>
    </row>
    <row r="32" spans="1:10" x14ac:dyDescent="0.35">
      <c r="A32" s="5" t="s">
        <v>157</v>
      </c>
      <c r="B32" s="5" t="s">
        <v>151</v>
      </c>
      <c r="C32" s="5" t="s">
        <v>152</v>
      </c>
      <c r="D32" s="5" t="s">
        <v>121</v>
      </c>
      <c r="E32" s="5" t="s">
        <v>158</v>
      </c>
      <c r="F32" s="5" t="s">
        <v>159</v>
      </c>
      <c r="G32" s="5" t="s">
        <v>155</v>
      </c>
      <c r="H32" s="5" t="s">
        <v>160</v>
      </c>
      <c r="I32" s="5" t="s">
        <v>36</v>
      </c>
      <c r="J32" s="5"/>
    </row>
    <row r="33" spans="1:10" x14ac:dyDescent="0.35">
      <c r="A33" s="5" t="s">
        <v>161</v>
      </c>
      <c r="B33" s="5" t="s">
        <v>151</v>
      </c>
      <c r="C33" s="5" t="s">
        <v>152</v>
      </c>
      <c r="D33" s="5" t="s">
        <v>91</v>
      </c>
      <c r="E33" s="5" t="s">
        <v>162</v>
      </c>
      <c r="F33" s="5" t="s">
        <v>34</v>
      </c>
      <c r="G33" s="5" t="s">
        <v>155</v>
      </c>
      <c r="H33" s="5" t="s">
        <v>163</v>
      </c>
      <c r="I33" s="5" t="s">
        <v>36</v>
      </c>
      <c r="J33" s="5"/>
    </row>
    <row r="34" spans="1:10" x14ac:dyDescent="0.35">
      <c r="A34" s="5" t="s">
        <v>164</v>
      </c>
      <c r="B34" s="5" t="s">
        <v>151</v>
      </c>
      <c r="C34" s="5" t="s">
        <v>152</v>
      </c>
      <c r="D34" s="5" t="s">
        <v>40</v>
      </c>
      <c r="E34" s="5" t="s">
        <v>165</v>
      </c>
      <c r="F34" s="5" t="s">
        <v>34</v>
      </c>
      <c r="G34" s="5" t="s">
        <v>155</v>
      </c>
      <c r="H34" s="5" t="s">
        <v>166</v>
      </c>
      <c r="I34" s="5" t="s">
        <v>36</v>
      </c>
      <c r="J34" s="5"/>
    </row>
    <row r="35" spans="1:10" x14ac:dyDescent="0.35">
      <c r="A35" s="5" t="s">
        <v>167</v>
      </c>
      <c r="B35" s="5" t="s">
        <v>151</v>
      </c>
      <c r="C35" s="5" t="s">
        <v>168</v>
      </c>
      <c r="D35" s="5" t="s">
        <v>40</v>
      </c>
      <c r="E35" s="5" t="s">
        <v>169</v>
      </c>
      <c r="F35" s="5" t="s">
        <v>34</v>
      </c>
      <c r="G35" s="5" t="s">
        <v>168</v>
      </c>
      <c r="H35" s="5" t="s">
        <v>170</v>
      </c>
      <c r="I35" s="5" t="s">
        <v>36</v>
      </c>
      <c r="J35" s="5"/>
    </row>
    <row r="36" spans="1:10" x14ac:dyDescent="0.35">
      <c r="A36" s="7" t="s">
        <v>171</v>
      </c>
      <c r="B36" s="7" t="s">
        <v>73</v>
      </c>
      <c r="C36" s="7" t="s">
        <v>172</v>
      </c>
      <c r="D36" s="7" t="s">
        <v>121</v>
      </c>
      <c r="E36" s="7" t="s">
        <v>173</v>
      </c>
      <c r="F36" s="7" t="s">
        <v>34</v>
      </c>
      <c r="G36" s="7" t="s">
        <v>174</v>
      </c>
      <c r="H36" s="7" t="s">
        <v>175</v>
      </c>
      <c r="I36" s="7" t="s">
        <v>172</v>
      </c>
      <c r="J36" s="7" t="s">
        <v>176</v>
      </c>
    </row>
    <row r="37" spans="1:10" ht="25" x14ac:dyDescent="0.35">
      <c r="A37" s="7" t="s">
        <v>177</v>
      </c>
      <c r="B37" s="7" t="s">
        <v>85</v>
      </c>
      <c r="C37" s="7" t="s">
        <v>172</v>
      </c>
      <c r="D37" s="7" t="s">
        <v>121</v>
      </c>
      <c r="E37" s="7" t="s">
        <v>178</v>
      </c>
      <c r="F37" s="7" t="s">
        <v>34</v>
      </c>
      <c r="G37" s="7" t="s">
        <v>174</v>
      </c>
      <c r="H37" s="7" t="s">
        <v>179</v>
      </c>
      <c r="I37" s="7" t="s">
        <v>172</v>
      </c>
      <c r="J37" s="7" t="s">
        <v>180</v>
      </c>
    </row>
    <row r="38" spans="1:10" x14ac:dyDescent="0.35">
      <c r="A38" s="8" t="s">
        <v>181</v>
      </c>
      <c r="B38" s="8" t="s">
        <v>130</v>
      </c>
      <c r="C38" s="8" t="s">
        <v>182</v>
      </c>
      <c r="D38" s="8" t="s">
        <v>143</v>
      </c>
      <c r="E38" s="8" t="s">
        <v>183</v>
      </c>
      <c r="F38" s="8" t="s">
        <v>56</v>
      </c>
      <c r="G38" s="8" t="s">
        <v>184</v>
      </c>
      <c r="H38" s="8" t="s">
        <v>185</v>
      </c>
      <c r="I38" s="8" t="s">
        <v>186</v>
      </c>
      <c r="J38" s="8" t="s">
        <v>187</v>
      </c>
    </row>
    <row r="39" spans="1:10" x14ac:dyDescent="0.35">
      <c r="A39" s="8" t="s">
        <v>188</v>
      </c>
      <c r="B39" s="8" t="s">
        <v>130</v>
      </c>
      <c r="C39" s="8" t="s">
        <v>189</v>
      </c>
      <c r="D39" s="8" t="s">
        <v>143</v>
      </c>
      <c r="E39" s="8" t="s">
        <v>190</v>
      </c>
      <c r="F39" s="8" t="s">
        <v>56</v>
      </c>
      <c r="G39" s="8" t="s">
        <v>182</v>
      </c>
      <c r="H39" s="8" t="s">
        <v>191</v>
      </c>
      <c r="I39" s="8" t="s">
        <v>186</v>
      </c>
      <c r="J39" s="8" t="s">
        <v>192</v>
      </c>
    </row>
    <row r="40" spans="1:10" x14ac:dyDescent="0.35">
      <c r="A40" s="8" t="s">
        <v>193</v>
      </c>
      <c r="B40" s="8" t="s">
        <v>194</v>
      </c>
      <c r="C40" s="8" t="s">
        <v>195</v>
      </c>
      <c r="D40" s="8" t="s">
        <v>138</v>
      </c>
      <c r="E40" s="8" t="s">
        <v>196</v>
      </c>
      <c r="F40" s="8" t="s">
        <v>34</v>
      </c>
      <c r="G40" s="8" t="s">
        <v>134</v>
      </c>
      <c r="H40" s="8" t="s">
        <v>197</v>
      </c>
      <c r="I40" s="8" t="s">
        <v>186</v>
      </c>
      <c r="J40" s="8" t="s">
        <v>198</v>
      </c>
    </row>
    <row r="41" spans="1:10" x14ac:dyDescent="0.35">
      <c r="A41" s="8" t="s">
        <v>199</v>
      </c>
      <c r="B41" s="8" t="s">
        <v>194</v>
      </c>
      <c r="C41" s="8" t="s">
        <v>137</v>
      </c>
      <c r="D41" s="8" t="s">
        <v>132</v>
      </c>
      <c r="E41" s="8" t="s">
        <v>200</v>
      </c>
      <c r="F41" s="8" t="s">
        <v>93</v>
      </c>
      <c r="G41" s="8" t="s">
        <v>134</v>
      </c>
      <c r="H41" s="8" t="s">
        <v>201</v>
      </c>
      <c r="I41" s="8" t="s">
        <v>186</v>
      </c>
      <c r="J41" s="8" t="s">
        <v>202</v>
      </c>
    </row>
    <row r="42" spans="1:10" x14ac:dyDescent="0.35">
      <c r="A42" s="8" t="s">
        <v>203</v>
      </c>
      <c r="B42" s="8" t="s">
        <v>194</v>
      </c>
      <c r="C42" s="8" t="s">
        <v>152</v>
      </c>
      <c r="D42" s="8" t="s">
        <v>40</v>
      </c>
      <c r="E42" s="8" t="s">
        <v>204</v>
      </c>
      <c r="F42" s="8" t="s">
        <v>34</v>
      </c>
      <c r="G42" s="8" t="s">
        <v>155</v>
      </c>
      <c r="H42" s="8" t="s">
        <v>205</v>
      </c>
      <c r="I42" s="8" t="s">
        <v>186</v>
      </c>
      <c r="J42" s="8" t="s">
        <v>202</v>
      </c>
    </row>
    <row r="43" spans="1:10" ht="25" x14ac:dyDescent="0.35">
      <c r="A43" s="6" t="s">
        <v>206</v>
      </c>
      <c r="B43" s="6" t="s">
        <v>38</v>
      </c>
      <c r="C43" s="6" t="s">
        <v>207</v>
      </c>
      <c r="D43" s="6" t="s">
        <v>208</v>
      </c>
      <c r="E43" s="6" t="s">
        <v>209</v>
      </c>
      <c r="F43" s="6" t="s">
        <v>210</v>
      </c>
      <c r="G43" s="6" t="s">
        <v>211</v>
      </c>
      <c r="H43" s="6" t="s">
        <v>212</v>
      </c>
      <c r="I43" s="6" t="s">
        <v>213</v>
      </c>
      <c r="J43" s="6" t="s">
        <v>214</v>
      </c>
    </row>
    <row r="44" spans="1:10" x14ac:dyDescent="0.35">
      <c r="A44" s="8" t="s">
        <v>215</v>
      </c>
      <c r="B44" s="8" t="s">
        <v>216</v>
      </c>
      <c r="C44" s="8" t="s">
        <v>217</v>
      </c>
      <c r="D44" s="8" t="s">
        <v>40</v>
      </c>
      <c r="E44" s="8" t="s">
        <v>218</v>
      </c>
      <c r="F44" s="8" t="s">
        <v>34</v>
      </c>
      <c r="G44" s="8" t="s">
        <v>219</v>
      </c>
      <c r="H44" s="8" t="s">
        <v>220</v>
      </c>
      <c r="I44" s="8" t="s">
        <v>186</v>
      </c>
      <c r="J44" s="8" t="s">
        <v>221</v>
      </c>
    </row>
    <row r="45" spans="1:10" x14ac:dyDescent="0.35">
      <c r="A45" s="8" t="s">
        <v>222</v>
      </c>
      <c r="B45" s="8" t="s">
        <v>216</v>
      </c>
      <c r="C45" s="8" t="s">
        <v>217</v>
      </c>
      <c r="D45" s="8" t="s">
        <v>40</v>
      </c>
      <c r="E45" s="8" t="s">
        <v>223</v>
      </c>
      <c r="F45" s="8" t="s">
        <v>34</v>
      </c>
      <c r="G45" s="8" t="s">
        <v>219</v>
      </c>
      <c r="H45" s="8" t="s">
        <v>220</v>
      </c>
      <c r="I45" s="8" t="s">
        <v>186</v>
      </c>
      <c r="J45" s="8" t="s">
        <v>221</v>
      </c>
    </row>
    <row r="46" spans="1:10" ht="25" x14ac:dyDescent="0.35">
      <c r="A46" s="8" t="s">
        <v>224</v>
      </c>
      <c r="B46" s="8" t="s">
        <v>216</v>
      </c>
      <c r="C46" s="8" t="s">
        <v>217</v>
      </c>
      <c r="D46" s="8" t="s">
        <v>40</v>
      </c>
      <c r="E46" s="8" t="s">
        <v>225</v>
      </c>
      <c r="F46" s="8" t="s">
        <v>34</v>
      </c>
      <c r="G46" s="8" t="s">
        <v>219</v>
      </c>
      <c r="H46" s="8" t="s">
        <v>226</v>
      </c>
      <c r="I46" s="8" t="s">
        <v>186</v>
      </c>
      <c r="J46" s="8" t="s">
        <v>227</v>
      </c>
    </row>
  </sheetData>
  <autoFilter ref="A1:J4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0" customWidth="1"/>
    <col min="2" max="2" width="34" customWidth="1"/>
    <col min="3" max="3" width="40" customWidth="1"/>
    <col min="4" max="4" width="24" customWidth="1"/>
    <col min="5" max="5" width="30" customWidth="1"/>
    <col min="6" max="6" width="40" customWidth="1"/>
    <col min="7" max="7" width="28" customWidth="1"/>
    <col min="8" max="8" width="12" customWidth="1"/>
    <col min="9" max="9" width="50" customWidth="1"/>
  </cols>
  <sheetData>
    <row r="1" spans="1:9" x14ac:dyDescent="0.35">
      <c r="A1" s="4" t="s">
        <v>228</v>
      </c>
      <c r="B1" s="4" t="s">
        <v>229</v>
      </c>
      <c r="C1" s="4" t="s">
        <v>230</v>
      </c>
      <c r="D1" s="4" t="s">
        <v>22</v>
      </c>
      <c r="E1" s="4" t="s">
        <v>231</v>
      </c>
      <c r="F1" s="4" t="s">
        <v>232</v>
      </c>
      <c r="G1" s="4" t="s">
        <v>233</v>
      </c>
      <c r="H1" s="4" t="s">
        <v>27</v>
      </c>
      <c r="I1" s="4" t="s">
        <v>234</v>
      </c>
    </row>
    <row r="2" spans="1:9" x14ac:dyDescent="0.35">
      <c r="A2" s="5" t="s">
        <v>38</v>
      </c>
      <c r="B2" s="5" t="s">
        <v>235</v>
      </c>
      <c r="C2" s="5" t="s">
        <v>37</v>
      </c>
      <c r="D2" s="5" t="s">
        <v>32</v>
      </c>
      <c r="E2" s="5" t="s">
        <v>236</v>
      </c>
      <c r="F2" s="5" t="s">
        <v>237</v>
      </c>
      <c r="G2" s="5" t="s">
        <v>238</v>
      </c>
      <c r="H2" s="5" t="s">
        <v>36</v>
      </c>
      <c r="I2" s="5"/>
    </row>
    <row r="3" spans="1:9" x14ac:dyDescent="0.35">
      <c r="A3" s="5" t="s">
        <v>38</v>
      </c>
      <c r="B3" s="5" t="s">
        <v>239</v>
      </c>
      <c r="C3" s="5" t="s">
        <v>44</v>
      </c>
      <c r="D3" s="5" t="s">
        <v>32</v>
      </c>
      <c r="E3" s="5" t="s">
        <v>240</v>
      </c>
      <c r="F3" s="5" t="s">
        <v>241</v>
      </c>
      <c r="G3" s="5" t="s">
        <v>238</v>
      </c>
      <c r="H3" s="5" t="s">
        <v>36</v>
      </c>
      <c r="I3" s="5"/>
    </row>
    <row r="4" spans="1:9" x14ac:dyDescent="0.35">
      <c r="A4" s="5" t="s">
        <v>38</v>
      </c>
      <c r="B4" s="5" t="s">
        <v>242</v>
      </c>
      <c r="C4" s="5" t="s">
        <v>47</v>
      </c>
      <c r="D4" s="5" t="s">
        <v>32</v>
      </c>
      <c r="E4" s="5" t="s">
        <v>243</v>
      </c>
      <c r="F4" s="5" t="s">
        <v>244</v>
      </c>
      <c r="G4" s="5" t="s">
        <v>238</v>
      </c>
      <c r="H4" s="5" t="s">
        <v>36</v>
      </c>
      <c r="I4" s="5"/>
    </row>
    <row r="5" spans="1:9" x14ac:dyDescent="0.35">
      <c r="A5" s="5" t="s">
        <v>38</v>
      </c>
      <c r="B5" s="5" t="s">
        <v>245</v>
      </c>
      <c r="C5" s="5" t="s">
        <v>50</v>
      </c>
      <c r="D5" s="5" t="s">
        <v>32</v>
      </c>
      <c r="E5" s="5" t="s">
        <v>246</v>
      </c>
      <c r="F5" s="5" t="s">
        <v>247</v>
      </c>
      <c r="G5" s="5" t="s">
        <v>238</v>
      </c>
      <c r="H5" s="5" t="s">
        <v>36</v>
      </c>
      <c r="I5" s="5"/>
    </row>
    <row r="6" spans="1:9" x14ac:dyDescent="0.35">
      <c r="A6" s="5" t="s">
        <v>38</v>
      </c>
      <c r="B6" s="5" t="s">
        <v>248</v>
      </c>
      <c r="C6" s="5" t="s">
        <v>54</v>
      </c>
      <c r="D6" s="5" t="s">
        <v>32</v>
      </c>
      <c r="E6" s="5" t="s">
        <v>249</v>
      </c>
      <c r="F6" s="5" t="s">
        <v>250</v>
      </c>
      <c r="G6" s="5" t="s">
        <v>238</v>
      </c>
      <c r="H6" s="5" t="s">
        <v>36</v>
      </c>
      <c r="I6" s="5"/>
    </row>
    <row r="7" spans="1:9" x14ac:dyDescent="0.35">
      <c r="A7" s="5" t="s">
        <v>38</v>
      </c>
      <c r="B7" s="5" t="s">
        <v>251</v>
      </c>
      <c r="C7" s="5" t="s">
        <v>58</v>
      </c>
      <c r="D7" s="5" t="s">
        <v>32</v>
      </c>
      <c r="E7" s="5" t="s">
        <v>252</v>
      </c>
      <c r="F7" s="5" t="s">
        <v>253</v>
      </c>
      <c r="G7" s="5" t="s">
        <v>238</v>
      </c>
      <c r="H7" s="5" t="s">
        <v>36</v>
      </c>
      <c r="I7" s="5"/>
    </row>
    <row r="8" spans="1:9" x14ac:dyDescent="0.35">
      <c r="A8" s="5" t="s">
        <v>38</v>
      </c>
      <c r="B8" s="5" t="s">
        <v>254</v>
      </c>
      <c r="C8" s="5" t="s">
        <v>63</v>
      </c>
      <c r="D8" s="5" t="s">
        <v>32</v>
      </c>
      <c r="E8" s="5" t="s">
        <v>64</v>
      </c>
      <c r="F8" s="5" t="s">
        <v>255</v>
      </c>
      <c r="G8" s="5" t="s">
        <v>238</v>
      </c>
      <c r="H8" s="5" t="s">
        <v>36</v>
      </c>
      <c r="I8" s="5"/>
    </row>
    <row r="9" spans="1:9" x14ac:dyDescent="0.35">
      <c r="A9" s="5" t="s">
        <v>38</v>
      </c>
      <c r="B9" s="5" t="s">
        <v>256</v>
      </c>
      <c r="C9" s="5" t="s">
        <v>66</v>
      </c>
      <c r="D9" s="5" t="s">
        <v>32</v>
      </c>
      <c r="E9" s="5" t="s">
        <v>257</v>
      </c>
      <c r="F9" s="5" t="s">
        <v>258</v>
      </c>
      <c r="G9" s="5" t="s">
        <v>238</v>
      </c>
      <c r="H9" s="5" t="s">
        <v>36</v>
      </c>
      <c r="I9" s="5"/>
    </row>
    <row r="10" spans="1:9" x14ac:dyDescent="0.35">
      <c r="A10" s="5" t="s">
        <v>38</v>
      </c>
      <c r="B10" s="5" t="s">
        <v>259</v>
      </c>
      <c r="C10" s="5" t="s">
        <v>69</v>
      </c>
      <c r="D10" s="5" t="s">
        <v>32</v>
      </c>
      <c r="E10" s="5" t="s">
        <v>260</v>
      </c>
      <c r="F10" s="5" t="s">
        <v>261</v>
      </c>
      <c r="G10" s="5" t="s">
        <v>238</v>
      </c>
      <c r="H10" s="5" t="s">
        <v>36</v>
      </c>
      <c r="I10" s="5"/>
    </row>
    <row r="11" spans="1:9" x14ac:dyDescent="0.35">
      <c r="A11" s="5" t="s">
        <v>73</v>
      </c>
      <c r="B11" s="5" t="s">
        <v>262</v>
      </c>
      <c r="C11" s="5" t="s">
        <v>72</v>
      </c>
      <c r="D11" s="5" t="s">
        <v>32</v>
      </c>
      <c r="E11" s="5" t="s">
        <v>263</v>
      </c>
      <c r="F11" s="5" t="s">
        <v>264</v>
      </c>
      <c r="G11" s="5" t="s">
        <v>265</v>
      </c>
      <c r="H11" s="5" t="s">
        <v>36</v>
      </c>
      <c r="I11" s="5"/>
    </row>
    <row r="12" spans="1:9" x14ac:dyDescent="0.35">
      <c r="A12" s="5" t="s">
        <v>73</v>
      </c>
      <c r="B12" s="5" t="s">
        <v>266</v>
      </c>
      <c r="C12" s="5" t="s">
        <v>77</v>
      </c>
      <c r="D12" s="5" t="s">
        <v>32</v>
      </c>
      <c r="E12" s="5" t="s">
        <v>263</v>
      </c>
      <c r="F12" s="5" t="s">
        <v>267</v>
      </c>
      <c r="G12" s="5" t="s">
        <v>265</v>
      </c>
      <c r="H12" s="5" t="s">
        <v>36</v>
      </c>
      <c r="I12" s="5"/>
    </row>
    <row r="13" spans="1:9" x14ac:dyDescent="0.35">
      <c r="A13" s="5" t="s">
        <v>73</v>
      </c>
      <c r="B13" s="5" t="s">
        <v>268</v>
      </c>
      <c r="C13" s="5" t="s">
        <v>79</v>
      </c>
      <c r="D13" s="5" t="s">
        <v>32</v>
      </c>
      <c r="E13" s="5" t="s">
        <v>263</v>
      </c>
      <c r="F13" s="5" t="s">
        <v>269</v>
      </c>
      <c r="G13" s="5" t="s">
        <v>265</v>
      </c>
      <c r="H13" s="5" t="s">
        <v>36</v>
      </c>
      <c r="I13" s="5"/>
    </row>
    <row r="14" spans="1:9" x14ac:dyDescent="0.35">
      <c r="A14" s="5" t="s">
        <v>73</v>
      </c>
      <c r="B14" s="5" t="s">
        <v>270</v>
      </c>
      <c r="C14" s="5" t="s">
        <v>81</v>
      </c>
      <c r="D14" s="5" t="s">
        <v>32</v>
      </c>
      <c r="E14" s="5" t="s">
        <v>271</v>
      </c>
      <c r="F14" s="5" t="s">
        <v>272</v>
      </c>
      <c r="G14" s="5" t="s">
        <v>265</v>
      </c>
      <c r="H14" s="5" t="s">
        <v>36</v>
      </c>
      <c r="I14" s="5"/>
    </row>
    <row r="15" spans="1:9" ht="25" x14ac:dyDescent="0.35">
      <c r="A15" s="6" t="s">
        <v>73</v>
      </c>
      <c r="B15" s="6" t="s">
        <v>273</v>
      </c>
      <c r="C15" s="6" t="s">
        <v>58</v>
      </c>
      <c r="D15" s="6" t="s">
        <v>32</v>
      </c>
      <c r="E15" s="6" t="s">
        <v>274</v>
      </c>
      <c r="F15" s="6" t="s">
        <v>275</v>
      </c>
      <c r="G15" s="6" t="s">
        <v>265</v>
      </c>
      <c r="H15" s="6" t="s">
        <v>61</v>
      </c>
      <c r="I15" s="6" t="s">
        <v>276</v>
      </c>
    </row>
    <row r="16" spans="1:9" x14ac:dyDescent="0.35">
      <c r="A16" s="5" t="s">
        <v>101</v>
      </c>
      <c r="B16" s="5" t="s">
        <v>277</v>
      </c>
      <c r="C16" s="5" t="s">
        <v>105</v>
      </c>
      <c r="D16" s="5" t="s">
        <v>32</v>
      </c>
      <c r="E16" s="5" t="s">
        <v>278</v>
      </c>
      <c r="F16" s="5" t="s">
        <v>279</v>
      </c>
      <c r="G16" s="5" t="s">
        <v>280</v>
      </c>
      <c r="H16" s="5" t="s">
        <v>36</v>
      </c>
      <c r="I16" s="5"/>
    </row>
    <row r="17" spans="1:9" x14ac:dyDescent="0.35">
      <c r="A17" s="5" t="s">
        <v>101</v>
      </c>
      <c r="B17" s="5" t="s">
        <v>281</v>
      </c>
      <c r="C17" s="5" t="s">
        <v>111</v>
      </c>
      <c r="D17" s="5" t="s">
        <v>32</v>
      </c>
      <c r="E17" s="5" t="s">
        <v>282</v>
      </c>
      <c r="F17" s="5" t="s">
        <v>283</v>
      </c>
      <c r="G17" s="5" t="s">
        <v>280</v>
      </c>
      <c r="H17" s="5" t="s">
        <v>36</v>
      </c>
      <c r="I17" s="5"/>
    </row>
    <row r="18" spans="1:9" x14ac:dyDescent="0.35">
      <c r="A18" s="5" t="s">
        <v>101</v>
      </c>
      <c r="B18" s="5" t="s">
        <v>284</v>
      </c>
      <c r="C18" s="5" t="s">
        <v>114</v>
      </c>
      <c r="D18" s="5" t="s">
        <v>32</v>
      </c>
      <c r="E18" s="5" t="s">
        <v>285</v>
      </c>
      <c r="F18" s="5" t="s">
        <v>286</v>
      </c>
      <c r="G18" s="5" t="s">
        <v>280</v>
      </c>
      <c r="H18" s="5" t="s">
        <v>36</v>
      </c>
      <c r="I18" s="5"/>
    </row>
    <row r="19" spans="1:9" x14ac:dyDescent="0.35">
      <c r="A19" s="5" t="s">
        <v>101</v>
      </c>
      <c r="B19" s="5" t="s">
        <v>287</v>
      </c>
      <c r="C19" s="5" t="s">
        <v>117</v>
      </c>
      <c r="D19" s="5" t="s">
        <v>32</v>
      </c>
      <c r="E19" s="5" t="s">
        <v>285</v>
      </c>
      <c r="F19" s="5" t="s">
        <v>286</v>
      </c>
      <c r="G19" s="5" t="s">
        <v>280</v>
      </c>
      <c r="H19" s="5" t="s">
        <v>36</v>
      </c>
      <c r="I19" s="5"/>
    </row>
    <row r="20" spans="1:9" x14ac:dyDescent="0.35">
      <c r="A20" s="5" t="s">
        <v>101</v>
      </c>
      <c r="B20" s="5" t="s">
        <v>288</v>
      </c>
      <c r="C20" s="5" t="s">
        <v>119</v>
      </c>
      <c r="D20" s="5" t="s">
        <v>121</v>
      </c>
      <c r="E20" s="5" t="s">
        <v>289</v>
      </c>
      <c r="F20" s="5" t="s">
        <v>290</v>
      </c>
      <c r="G20" s="5" t="s">
        <v>280</v>
      </c>
      <c r="H20" s="5" t="s">
        <v>36</v>
      </c>
      <c r="I20" s="5"/>
    </row>
    <row r="21" spans="1:9" x14ac:dyDescent="0.35">
      <c r="A21" s="5" t="s">
        <v>101</v>
      </c>
      <c r="B21" s="5" t="s">
        <v>291</v>
      </c>
      <c r="C21" s="5" t="s">
        <v>125</v>
      </c>
      <c r="D21" s="5" t="s">
        <v>121</v>
      </c>
      <c r="E21" s="5" t="s">
        <v>292</v>
      </c>
      <c r="F21" s="5" t="s">
        <v>290</v>
      </c>
      <c r="G21" s="5" t="s">
        <v>280</v>
      </c>
      <c r="H21" s="5" t="s">
        <v>36</v>
      </c>
      <c r="I21" s="5"/>
    </row>
    <row r="22" spans="1:9" x14ac:dyDescent="0.35">
      <c r="A22" s="5" t="s">
        <v>85</v>
      </c>
      <c r="B22" s="5" t="s">
        <v>293</v>
      </c>
      <c r="C22" s="5" t="s">
        <v>84</v>
      </c>
      <c r="D22" s="5" t="s">
        <v>32</v>
      </c>
      <c r="E22" s="5" t="s">
        <v>294</v>
      </c>
      <c r="F22" s="5" t="s">
        <v>295</v>
      </c>
      <c r="G22" s="5" t="s">
        <v>296</v>
      </c>
      <c r="H22" s="5" t="s">
        <v>36</v>
      </c>
      <c r="I22" s="5"/>
    </row>
    <row r="23" spans="1:9" x14ac:dyDescent="0.35">
      <c r="A23" s="5" t="s">
        <v>85</v>
      </c>
      <c r="B23" s="5" t="s">
        <v>297</v>
      </c>
      <c r="C23" s="5" t="s">
        <v>90</v>
      </c>
      <c r="D23" s="5" t="s">
        <v>143</v>
      </c>
      <c r="E23" s="5" t="s">
        <v>298</v>
      </c>
      <c r="F23" s="5" t="s">
        <v>299</v>
      </c>
      <c r="G23" s="5" t="s">
        <v>296</v>
      </c>
      <c r="H23" s="5" t="s">
        <v>36</v>
      </c>
      <c r="I23" s="5"/>
    </row>
    <row r="24" spans="1:9" x14ac:dyDescent="0.35">
      <c r="A24" s="5" t="s">
        <v>85</v>
      </c>
      <c r="B24" s="5" t="s">
        <v>300</v>
      </c>
      <c r="C24" s="5" t="s">
        <v>95</v>
      </c>
      <c r="D24" s="5" t="s">
        <v>143</v>
      </c>
      <c r="E24" s="5" t="s">
        <v>298</v>
      </c>
      <c r="F24" s="5" t="s">
        <v>299</v>
      </c>
      <c r="G24" s="5" t="s">
        <v>296</v>
      </c>
      <c r="H24" s="5" t="s">
        <v>36</v>
      </c>
      <c r="I24" s="5"/>
    </row>
    <row r="25" spans="1:9" x14ac:dyDescent="0.35">
      <c r="A25" s="5" t="s">
        <v>85</v>
      </c>
      <c r="B25" s="5" t="s">
        <v>301</v>
      </c>
      <c r="C25" s="5" t="s">
        <v>96</v>
      </c>
      <c r="D25" s="5" t="s">
        <v>40</v>
      </c>
      <c r="E25" s="5" t="s">
        <v>302</v>
      </c>
      <c r="F25" s="5" t="s">
        <v>303</v>
      </c>
      <c r="G25" s="5" t="s">
        <v>296</v>
      </c>
      <c r="H25" s="5" t="s">
        <v>36</v>
      </c>
      <c r="I25" s="5"/>
    </row>
    <row r="26" spans="1:9" x14ac:dyDescent="0.35">
      <c r="A26" s="6" t="s">
        <v>85</v>
      </c>
      <c r="B26" s="6" t="s">
        <v>304</v>
      </c>
      <c r="C26" s="6" t="s">
        <v>136</v>
      </c>
      <c r="D26" s="6" t="s">
        <v>138</v>
      </c>
      <c r="E26" s="6" t="s">
        <v>144</v>
      </c>
      <c r="F26" s="6" t="s">
        <v>305</v>
      </c>
      <c r="G26" s="6" t="s">
        <v>296</v>
      </c>
      <c r="H26" s="6" t="s">
        <v>61</v>
      </c>
      <c r="I26" s="6" t="s">
        <v>306</v>
      </c>
    </row>
    <row r="27" spans="1:9" x14ac:dyDescent="0.35">
      <c r="A27" s="5" t="s">
        <v>130</v>
      </c>
      <c r="B27" s="5" t="s">
        <v>307</v>
      </c>
      <c r="C27" s="5" t="s">
        <v>129</v>
      </c>
      <c r="D27" s="5" t="s">
        <v>138</v>
      </c>
      <c r="E27" s="5" t="s">
        <v>308</v>
      </c>
      <c r="F27" s="5" t="s">
        <v>309</v>
      </c>
      <c r="G27" s="5" t="s">
        <v>310</v>
      </c>
      <c r="H27" s="5" t="s">
        <v>36</v>
      </c>
      <c r="I27" s="5"/>
    </row>
    <row r="28" spans="1:9" ht="25" x14ac:dyDescent="0.35">
      <c r="A28" s="5" t="s">
        <v>130</v>
      </c>
      <c r="B28" s="5" t="s">
        <v>311</v>
      </c>
      <c r="C28" s="5" t="s">
        <v>136</v>
      </c>
      <c r="D28" s="5" t="s">
        <v>138</v>
      </c>
      <c r="E28" s="5" t="s">
        <v>312</v>
      </c>
      <c r="F28" s="5" t="s">
        <v>313</v>
      </c>
      <c r="G28" s="5" t="s">
        <v>310</v>
      </c>
      <c r="H28" s="5" t="s">
        <v>36</v>
      </c>
      <c r="I28" s="5" t="s">
        <v>314</v>
      </c>
    </row>
    <row r="29" spans="1:9" x14ac:dyDescent="0.35">
      <c r="A29" s="5" t="s">
        <v>130</v>
      </c>
      <c r="B29" s="5" t="s">
        <v>315</v>
      </c>
      <c r="C29" s="5" t="s">
        <v>146</v>
      </c>
      <c r="D29" s="5" t="s">
        <v>40</v>
      </c>
      <c r="E29" s="5" t="s">
        <v>316</v>
      </c>
      <c r="F29" s="5" t="s">
        <v>317</v>
      </c>
      <c r="G29" s="5" t="s">
        <v>310</v>
      </c>
      <c r="H29" s="5" t="s">
        <v>36</v>
      </c>
      <c r="I29" s="5"/>
    </row>
    <row r="30" spans="1:9" x14ac:dyDescent="0.35">
      <c r="A30" s="5" t="s">
        <v>151</v>
      </c>
      <c r="B30" s="5" t="s">
        <v>318</v>
      </c>
      <c r="C30" s="5" t="s">
        <v>150</v>
      </c>
      <c r="D30" s="5" t="s">
        <v>40</v>
      </c>
      <c r="E30" s="5" t="s">
        <v>319</v>
      </c>
      <c r="F30" s="5" t="s">
        <v>320</v>
      </c>
      <c r="G30" s="5" t="s">
        <v>321</v>
      </c>
      <c r="H30" s="5" t="s">
        <v>36</v>
      </c>
      <c r="I30" s="5"/>
    </row>
    <row r="31" spans="1:9" x14ac:dyDescent="0.35">
      <c r="A31" s="5" t="s">
        <v>151</v>
      </c>
      <c r="B31" s="5" t="s">
        <v>322</v>
      </c>
      <c r="C31" s="5" t="s">
        <v>157</v>
      </c>
      <c r="D31" s="5" t="s">
        <v>121</v>
      </c>
      <c r="E31" s="5" t="s">
        <v>323</v>
      </c>
      <c r="F31" s="5" t="s">
        <v>324</v>
      </c>
      <c r="G31" s="5" t="s">
        <v>321</v>
      </c>
      <c r="H31" s="5" t="s">
        <v>36</v>
      </c>
      <c r="I31" s="5"/>
    </row>
    <row r="32" spans="1:9" x14ac:dyDescent="0.35">
      <c r="A32" s="5" t="s">
        <v>151</v>
      </c>
      <c r="B32" s="5" t="s">
        <v>325</v>
      </c>
      <c r="C32" s="5" t="s">
        <v>161</v>
      </c>
      <c r="D32" s="5" t="s">
        <v>40</v>
      </c>
      <c r="E32" s="5" t="s">
        <v>326</v>
      </c>
      <c r="F32" s="5" t="s">
        <v>327</v>
      </c>
      <c r="G32" s="5" t="s">
        <v>321</v>
      </c>
      <c r="H32" s="5" t="s">
        <v>36</v>
      </c>
      <c r="I32" s="5"/>
    </row>
    <row r="33" spans="1:9" x14ac:dyDescent="0.35">
      <c r="A33" s="5" t="s">
        <v>151</v>
      </c>
      <c r="B33" s="5" t="s">
        <v>168</v>
      </c>
      <c r="C33" s="5" t="s">
        <v>167</v>
      </c>
      <c r="D33" s="5" t="s">
        <v>40</v>
      </c>
      <c r="E33" s="5" t="s">
        <v>169</v>
      </c>
      <c r="F33" s="5" t="s">
        <v>328</v>
      </c>
      <c r="G33" s="5" t="s">
        <v>321</v>
      </c>
      <c r="H33" s="5" t="s">
        <v>36</v>
      </c>
      <c r="I33" s="5"/>
    </row>
    <row r="34" spans="1:9" ht="25" x14ac:dyDescent="0.35">
      <c r="A34" s="8" t="s">
        <v>101</v>
      </c>
      <c r="B34" s="8" t="s">
        <v>329</v>
      </c>
      <c r="C34" s="8" t="s">
        <v>100</v>
      </c>
      <c r="D34" s="8" t="s">
        <v>32</v>
      </c>
      <c r="E34" s="8" t="s">
        <v>330</v>
      </c>
      <c r="F34" s="8" t="s">
        <v>331</v>
      </c>
      <c r="G34" s="8" t="s">
        <v>280</v>
      </c>
      <c r="H34" s="8" t="s">
        <v>186</v>
      </c>
      <c r="I34" s="8" t="s">
        <v>332</v>
      </c>
    </row>
    <row r="35" spans="1:9" ht="25" x14ac:dyDescent="0.35">
      <c r="A35" s="6" t="s">
        <v>101</v>
      </c>
      <c r="B35" s="6" t="s">
        <v>333</v>
      </c>
      <c r="C35" s="6" t="s">
        <v>208</v>
      </c>
      <c r="D35" s="6" t="s">
        <v>32</v>
      </c>
      <c r="E35" s="6" t="s">
        <v>334</v>
      </c>
      <c r="F35" s="6" t="s">
        <v>335</v>
      </c>
      <c r="G35" s="6" t="s">
        <v>280</v>
      </c>
      <c r="H35" s="6" t="s">
        <v>213</v>
      </c>
      <c r="I35" s="6" t="s">
        <v>336</v>
      </c>
    </row>
    <row r="36" spans="1:9" x14ac:dyDescent="0.35">
      <c r="A36" s="8" t="s">
        <v>85</v>
      </c>
      <c r="B36" s="8" t="s">
        <v>337</v>
      </c>
      <c r="C36" s="8" t="s">
        <v>142</v>
      </c>
      <c r="D36" s="8" t="s">
        <v>143</v>
      </c>
      <c r="E36" s="8" t="s">
        <v>338</v>
      </c>
      <c r="F36" s="8" t="s">
        <v>93</v>
      </c>
      <c r="G36" s="8" t="s">
        <v>296</v>
      </c>
      <c r="H36" s="8" t="s">
        <v>186</v>
      </c>
      <c r="I36" s="8" t="s">
        <v>332</v>
      </c>
    </row>
    <row r="37" spans="1:9" x14ac:dyDescent="0.35">
      <c r="A37" s="8" t="s">
        <v>151</v>
      </c>
      <c r="B37" s="8" t="s">
        <v>339</v>
      </c>
      <c r="C37" s="8" t="s">
        <v>164</v>
      </c>
      <c r="D37" s="8" t="s">
        <v>40</v>
      </c>
      <c r="E37" s="8" t="s">
        <v>166</v>
      </c>
      <c r="F37" s="8" t="s">
        <v>34</v>
      </c>
      <c r="G37" s="8" t="s">
        <v>340</v>
      </c>
      <c r="H37" s="8" t="s">
        <v>186</v>
      </c>
      <c r="I37" s="8" t="s">
        <v>332</v>
      </c>
    </row>
    <row r="38" spans="1:9" x14ac:dyDescent="0.35">
      <c r="A38" s="8" t="s">
        <v>194</v>
      </c>
      <c r="B38" s="8" t="s">
        <v>341</v>
      </c>
      <c r="C38" s="8" t="s">
        <v>193</v>
      </c>
      <c r="D38" s="8" t="s">
        <v>138</v>
      </c>
      <c r="E38" s="8" t="s">
        <v>342</v>
      </c>
      <c r="F38" s="8" t="s">
        <v>34</v>
      </c>
      <c r="G38" s="8" t="s">
        <v>343</v>
      </c>
      <c r="H38" s="8" t="s">
        <v>186</v>
      </c>
      <c r="I38" s="8" t="s">
        <v>344</v>
      </c>
    </row>
    <row r="39" spans="1:9" x14ac:dyDescent="0.35">
      <c r="A39" s="8" t="s">
        <v>194</v>
      </c>
      <c r="B39" s="8" t="s">
        <v>345</v>
      </c>
      <c r="C39" s="8" t="s">
        <v>199</v>
      </c>
      <c r="D39" s="8" t="s">
        <v>132</v>
      </c>
      <c r="E39" s="8" t="s">
        <v>346</v>
      </c>
      <c r="F39" s="8" t="s">
        <v>93</v>
      </c>
      <c r="G39" s="8" t="s">
        <v>343</v>
      </c>
      <c r="H39" s="8" t="s">
        <v>186</v>
      </c>
      <c r="I39" s="8" t="s">
        <v>347</v>
      </c>
    </row>
    <row r="40" spans="1:9" x14ac:dyDescent="0.35">
      <c r="A40" s="8" t="s">
        <v>194</v>
      </c>
      <c r="B40" s="8" t="s">
        <v>348</v>
      </c>
      <c r="C40" s="8" t="s">
        <v>203</v>
      </c>
      <c r="D40" s="8" t="s">
        <v>40</v>
      </c>
      <c r="E40" s="8" t="s">
        <v>349</v>
      </c>
      <c r="F40" s="8" t="s">
        <v>34</v>
      </c>
      <c r="G40" s="8" t="s">
        <v>350</v>
      </c>
      <c r="H40" s="8" t="s">
        <v>186</v>
      </c>
      <c r="I40" s="8" t="s">
        <v>347</v>
      </c>
    </row>
    <row r="41" spans="1:9" x14ac:dyDescent="0.35">
      <c r="A41" s="6" t="s">
        <v>38</v>
      </c>
      <c r="B41" s="6" t="s">
        <v>351</v>
      </c>
      <c r="C41" s="6" t="s">
        <v>206</v>
      </c>
      <c r="D41" s="6" t="s">
        <v>208</v>
      </c>
      <c r="E41" s="6" t="s">
        <v>352</v>
      </c>
      <c r="F41" s="6" t="s">
        <v>353</v>
      </c>
      <c r="G41" s="6" t="s">
        <v>354</v>
      </c>
      <c r="H41" s="6" t="s">
        <v>213</v>
      </c>
      <c r="I41" s="6" t="s">
        <v>355</v>
      </c>
    </row>
  </sheetData>
  <autoFilter ref="A1:I4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Normal="100" workbookViewId="0">
      <pane ySplit="1" topLeftCell="A2" activePane="bottomLeft" state="frozen"/>
      <selection pane="bottomLeft" activeCell="B39" sqref="B39"/>
    </sheetView>
  </sheetViews>
  <sheetFormatPr defaultColWidth="8.6328125" defaultRowHeight="14.5" x14ac:dyDescent="0.35"/>
  <cols>
    <col min="1" max="2" width="40" customWidth="1"/>
    <col min="3" max="3" width="24" customWidth="1"/>
    <col min="4" max="4" width="44" customWidth="1"/>
    <col min="5" max="5" width="22" customWidth="1"/>
  </cols>
  <sheetData>
    <row r="1" spans="1:5" x14ac:dyDescent="0.35">
      <c r="A1" s="4" t="s">
        <v>356</v>
      </c>
      <c r="B1" s="4" t="s">
        <v>357</v>
      </c>
      <c r="C1" s="4" t="s">
        <v>358</v>
      </c>
      <c r="D1" s="4" t="s">
        <v>234</v>
      </c>
      <c r="E1" s="4" t="s">
        <v>22</v>
      </c>
    </row>
    <row r="2" spans="1:5" x14ac:dyDescent="0.35">
      <c r="A2" s="9" t="s">
        <v>171</v>
      </c>
      <c r="B2" s="9" t="s">
        <v>58</v>
      </c>
      <c r="C2" s="9" t="s">
        <v>359</v>
      </c>
      <c r="D2" s="9" t="s">
        <v>360</v>
      </c>
      <c r="E2" s="9" t="s">
        <v>121</v>
      </c>
    </row>
    <row r="3" spans="1:5" x14ac:dyDescent="0.35">
      <c r="A3" s="9" t="s">
        <v>177</v>
      </c>
      <c r="B3" s="9" t="s">
        <v>136</v>
      </c>
      <c r="C3" s="9" t="s">
        <v>359</v>
      </c>
      <c r="D3" s="9" t="s">
        <v>361</v>
      </c>
      <c r="E3" s="9" t="s">
        <v>121</v>
      </c>
    </row>
    <row r="4" spans="1:5" x14ac:dyDescent="0.35">
      <c r="A4" s="9" t="s">
        <v>362</v>
      </c>
      <c r="B4" s="9" t="s">
        <v>363</v>
      </c>
      <c r="C4" s="9" t="s">
        <v>364</v>
      </c>
      <c r="D4" s="9" t="s">
        <v>365</v>
      </c>
      <c r="E4" s="9" t="s">
        <v>143</v>
      </c>
    </row>
    <row r="5" spans="1:5" x14ac:dyDescent="0.35">
      <c r="A5" s="9" t="s">
        <v>90</v>
      </c>
      <c r="B5" s="9" t="s">
        <v>366</v>
      </c>
      <c r="C5" s="9" t="s">
        <v>367</v>
      </c>
      <c r="D5" s="9" t="s">
        <v>368</v>
      </c>
      <c r="E5" s="9" t="s">
        <v>143</v>
      </c>
    </row>
    <row r="6" spans="1:5" x14ac:dyDescent="0.35">
      <c r="A6" s="9" t="s">
        <v>95</v>
      </c>
      <c r="B6" s="9" t="s">
        <v>369</v>
      </c>
      <c r="C6" s="9" t="s">
        <v>367</v>
      </c>
      <c r="D6" s="9" t="s">
        <v>368</v>
      </c>
      <c r="E6" s="9" t="s">
        <v>143</v>
      </c>
    </row>
    <row r="7" spans="1:5" x14ac:dyDescent="0.35">
      <c r="A7" s="9" t="s">
        <v>37</v>
      </c>
      <c r="B7" s="9" t="s">
        <v>370</v>
      </c>
      <c r="C7" s="9" t="s">
        <v>371</v>
      </c>
      <c r="D7" s="9" t="s">
        <v>372</v>
      </c>
      <c r="E7" s="9" t="s">
        <v>143</v>
      </c>
    </row>
  </sheetData>
  <autoFilter ref="A1:E7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tabSelected="1" zoomScaleNormal="100" workbookViewId="0">
      <pane ySplit="1" topLeftCell="A2" activePane="bottomLeft" state="frozen"/>
      <selection pane="bottomLeft" activeCell="F66" sqref="F66"/>
    </sheetView>
  </sheetViews>
  <sheetFormatPr defaultColWidth="8.6328125" defaultRowHeight="14.5" x14ac:dyDescent="0.35"/>
  <cols>
    <col min="1" max="1" width="5" customWidth="1"/>
    <col min="2" max="2" width="34" customWidth="1"/>
    <col min="3" max="3" width="70" customWidth="1"/>
    <col min="4" max="4" width="14" customWidth="1"/>
    <col min="5" max="5" width="24" customWidth="1"/>
    <col min="6" max="6" width="38" customWidth="1"/>
    <col min="7" max="7" width="12" customWidth="1"/>
    <col min="8" max="8" width="14" customWidth="1"/>
  </cols>
  <sheetData>
    <row r="1" spans="1:8" x14ac:dyDescent="0.35">
      <c r="A1" s="4" t="s">
        <v>373</v>
      </c>
      <c r="B1" s="4" t="s">
        <v>374</v>
      </c>
      <c r="C1" s="4" t="s">
        <v>375</v>
      </c>
      <c r="D1" s="4" t="s">
        <v>358</v>
      </c>
      <c r="E1" s="4" t="s">
        <v>22</v>
      </c>
      <c r="F1" s="4" t="s">
        <v>376</v>
      </c>
      <c r="G1" s="4" t="s">
        <v>377</v>
      </c>
      <c r="H1" s="4" t="s">
        <v>378</v>
      </c>
    </row>
    <row r="2" spans="1:8" x14ac:dyDescent="0.35">
      <c r="A2" s="9">
        <v>1</v>
      </c>
      <c r="B2" s="9" t="s">
        <v>379</v>
      </c>
      <c r="C2" s="9" t="s">
        <v>380</v>
      </c>
      <c r="D2" s="9" t="s">
        <v>381</v>
      </c>
      <c r="E2" s="9" t="s">
        <v>121</v>
      </c>
      <c r="F2" s="9" t="s">
        <v>382</v>
      </c>
      <c r="G2" s="9" t="s">
        <v>383</v>
      </c>
      <c r="H2" s="9" t="s">
        <v>384</v>
      </c>
    </row>
    <row r="3" spans="1:8" x14ac:dyDescent="0.35">
      <c r="A3" s="9">
        <v>2</v>
      </c>
      <c r="B3" s="9" t="s">
        <v>379</v>
      </c>
      <c r="C3" s="9" t="s">
        <v>385</v>
      </c>
      <c r="D3" s="9" t="s">
        <v>386</v>
      </c>
      <c r="E3" s="9" t="s">
        <v>121</v>
      </c>
      <c r="F3" s="9" t="s">
        <v>387</v>
      </c>
      <c r="G3" s="9" t="s">
        <v>388</v>
      </c>
      <c r="H3" s="9" t="s">
        <v>384</v>
      </c>
    </row>
    <row r="4" spans="1:8" x14ac:dyDescent="0.35">
      <c r="A4" s="9">
        <v>3</v>
      </c>
      <c r="B4" s="9" t="s">
        <v>379</v>
      </c>
      <c r="C4" s="9" t="s">
        <v>389</v>
      </c>
      <c r="D4" s="9" t="s">
        <v>386</v>
      </c>
      <c r="E4" s="9" t="s">
        <v>121</v>
      </c>
      <c r="F4" s="9" t="s">
        <v>390</v>
      </c>
      <c r="G4" s="9" t="s">
        <v>383</v>
      </c>
      <c r="H4" s="9" t="s">
        <v>384</v>
      </c>
    </row>
    <row r="5" spans="1:8" x14ac:dyDescent="0.35">
      <c r="A5" s="9">
        <v>4</v>
      </c>
      <c r="B5" s="9" t="s">
        <v>379</v>
      </c>
      <c r="C5" s="9" t="s">
        <v>391</v>
      </c>
      <c r="D5" s="9" t="s">
        <v>381</v>
      </c>
      <c r="E5" s="9" t="s">
        <v>121</v>
      </c>
      <c r="F5" s="9" t="s">
        <v>392</v>
      </c>
      <c r="G5" s="9" t="s">
        <v>388</v>
      </c>
      <c r="H5" s="9" t="s">
        <v>384</v>
      </c>
    </row>
    <row r="6" spans="1:8" x14ac:dyDescent="0.35">
      <c r="A6" s="9">
        <v>5</v>
      </c>
      <c r="B6" s="9" t="s">
        <v>379</v>
      </c>
      <c r="C6" s="9" t="s">
        <v>393</v>
      </c>
      <c r="D6" s="9" t="s">
        <v>381</v>
      </c>
      <c r="E6" s="9" t="s">
        <v>32</v>
      </c>
      <c r="F6" s="9" t="s">
        <v>394</v>
      </c>
      <c r="G6" s="9" t="s">
        <v>388</v>
      </c>
      <c r="H6" s="9" t="s">
        <v>384</v>
      </c>
    </row>
    <row r="7" spans="1:8" x14ac:dyDescent="0.35">
      <c r="A7" s="9">
        <v>6</v>
      </c>
      <c r="B7" s="9" t="s">
        <v>379</v>
      </c>
      <c r="C7" s="9" t="s">
        <v>395</v>
      </c>
      <c r="D7" s="9" t="s">
        <v>396</v>
      </c>
      <c r="E7" s="9" t="s">
        <v>121</v>
      </c>
      <c r="F7" s="9" t="s">
        <v>397</v>
      </c>
      <c r="G7" s="9" t="s">
        <v>398</v>
      </c>
      <c r="H7" s="9" t="s">
        <v>384</v>
      </c>
    </row>
    <row r="8" spans="1:8" x14ac:dyDescent="0.35">
      <c r="A8" s="9">
        <v>7</v>
      </c>
      <c r="B8" s="9" t="s">
        <v>379</v>
      </c>
      <c r="C8" s="9" t="s">
        <v>399</v>
      </c>
      <c r="D8" s="9" t="s">
        <v>386</v>
      </c>
      <c r="E8" s="9" t="s">
        <v>121</v>
      </c>
      <c r="F8" s="9" t="s">
        <v>400</v>
      </c>
      <c r="G8" s="9" t="s">
        <v>388</v>
      </c>
      <c r="H8" s="9" t="s">
        <v>384</v>
      </c>
    </row>
    <row r="9" spans="1:8" x14ac:dyDescent="0.35">
      <c r="A9" s="9">
        <v>8</v>
      </c>
      <c r="B9" s="9" t="s">
        <v>379</v>
      </c>
      <c r="C9" s="9" t="s">
        <v>401</v>
      </c>
      <c r="D9" s="9" t="s">
        <v>381</v>
      </c>
      <c r="E9" s="9" t="s">
        <v>121</v>
      </c>
      <c r="F9" s="9" t="s">
        <v>402</v>
      </c>
      <c r="G9" s="9" t="s">
        <v>388</v>
      </c>
      <c r="H9" s="9" t="s">
        <v>384</v>
      </c>
    </row>
    <row r="10" spans="1:8" x14ac:dyDescent="0.35">
      <c r="A10" s="9">
        <v>9</v>
      </c>
      <c r="B10" s="9" t="s">
        <v>31</v>
      </c>
      <c r="C10" s="9" t="s">
        <v>403</v>
      </c>
      <c r="D10" s="9" t="s">
        <v>381</v>
      </c>
      <c r="E10" s="9" t="s">
        <v>32</v>
      </c>
      <c r="F10" s="9" t="s">
        <v>404</v>
      </c>
      <c r="G10" s="9" t="s">
        <v>398</v>
      </c>
      <c r="H10" s="9" t="s">
        <v>384</v>
      </c>
    </row>
    <row r="11" spans="1:8" x14ac:dyDescent="0.35">
      <c r="A11" s="9">
        <v>10</v>
      </c>
      <c r="B11" s="9" t="s">
        <v>31</v>
      </c>
      <c r="C11" s="9" t="s">
        <v>405</v>
      </c>
      <c r="D11" s="9" t="s">
        <v>381</v>
      </c>
      <c r="E11" s="9" t="s">
        <v>32</v>
      </c>
      <c r="F11" s="9" t="s">
        <v>406</v>
      </c>
      <c r="G11" s="9" t="s">
        <v>388</v>
      </c>
      <c r="H11" s="9" t="s">
        <v>384</v>
      </c>
    </row>
    <row r="12" spans="1:8" x14ac:dyDescent="0.35">
      <c r="A12" s="9">
        <v>11</v>
      </c>
      <c r="B12" s="9" t="s">
        <v>31</v>
      </c>
      <c r="C12" s="9" t="s">
        <v>407</v>
      </c>
      <c r="D12" s="9" t="s">
        <v>408</v>
      </c>
      <c r="E12" s="9" t="s">
        <v>40</v>
      </c>
      <c r="F12" s="9" t="s">
        <v>409</v>
      </c>
      <c r="G12" s="9" t="s">
        <v>410</v>
      </c>
      <c r="H12" s="9" t="s">
        <v>384</v>
      </c>
    </row>
    <row r="13" spans="1:8" x14ac:dyDescent="0.35">
      <c r="A13" s="9">
        <v>12</v>
      </c>
      <c r="B13" s="9" t="s">
        <v>31</v>
      </c>
      <c r="C13" s="9" t="s">
        <v>411</v>
      </c>
      <c r="D13" s="9" t="s">
        <v>213</v>
      </c>
      <c r="E13" s="9" t="s">
        <v>412</v>
      </c>
      <c r="F13" s="9" t="s">
        <v>413</v>
      </c>
      <c r="G13" s="9" t="s">
        <v>414</v>
      </c>
      <c r="H13" s="9" t="s">
        <v>384</v>
      </c>
    </row>
    <row r="14" spans="1:8" ht="25" x14ac:dyDescent="0.35">
      <c r="A14" s="9">
        <v>13</v>
      </c>
      <c r="B14" s="9" t="s">
        <v>415</v>
      </c>
      <c r="C14" s="9" t="s">
        <v>416</v>
      </c>
      <c r="D14" s="9" t="s">
        <v>396</v>
      </c>
      <c r="E14" s="9" t="s">
        <v>121</v>
      </c>
      <c r="F14" s="9" t="s">
        <v>417</v>
      </c>
      <c r="G14" s="9" t="s">
        <v>388</v>
      </c>
      <c r="H14" s="9" t="s">
        <v>384</v>
      </c>
    </row>
    <row r="15" spans="1:8" ht="25" x14ac:dyDescent="0.35">
      <c r="A15" s="9">
        <v>14</v>
      </c>
      <c r="B15" s="9" t="s">
        <v>415</v>
      </c>
      <c r="C15" s="9" t="s">
        <v>418</v>
      </c>
      <c r="D15" s="9" t="s">
        <v>396</v>
      </c>
      <c r="E15" s="9" t="s">
        <v>121</v>
      </c>
      <c r="F15" s="9" t="s">
        <v>419</v>
      </c>
      <c r="G15" s="9" t="s">
        <v>383</v>
      </c>
      <c r="H15" s="9" t="s">
        <v>384</v>
      </c>
    </row>
    <row r="16" spans="1:8" ht="25" x14ac:dyDescent="0.35">
      <c r="A16" s="9">
        <v>15</v>
      </c>
      <c r="B16" s="9" t="s">
        <v>415</v>
      </c>
      <c r="C16" s="9" t="s">
        <v>420</v>
      </c>
      <c r="D16" s="9" t="s">
        <v>213</v>
      </c>
      <c r="E16" s="9" t="s">
        <v>32</v>
      </c>
      <c r="F16" s="9" t="s">
        <v>421</v>
      </c>
      <c r="G16" s="9" t="s">
        <v>398</v>
      </c>
      <c r="H16" s="9" t="s">
        <v>384</v>
      </c>
    </row>
    <row r="17" spans="1:8" ht="25" x14ac:dyDescent="0.35">
      <c r="A17" s="9">
        <v>16</v>
      </c>
      <c r="B17" s="9" t="s">
        <v>415</v>
      </c>
      <c r="C17" s="9" t="s">
        <v>422</v>
      </c>
      <c r="D17" s="9" t="s">
        <v>381</v>
      </c>
      <c r="E17" s="9" t="s">
        <v>32</v>
      </c>
      <c r="F17" s="9" t="s">
        <v>423</v>
      </c>
      <c r="G17" s="9" t="s">
        <v>388</v>
      </c>
      <c r="H17" s="9" t="s">
        <v>384</v>
      </c>
    </row>
    <row r="18" spans="1:8" ht="25" x14ac:dyDescent="0.35">
      <c r="A18" s="9">
        <v>17</v>
      </c>
      <c r="B18" s="9" t="s">
        <v>415</v>
      </c>
      <c r="C18" s="9" t="s">
        <v>424</v>
      </c>
      <c r="D18" s="9" t="s">
        <v>381</v>
      </c>
      <c r="E18" s="9" t="s">
        <v>32</v>
      </c>
      <c r="F18" s="9" t="s">
        <v>425</v>
      </c>
      <c r="G18" s="9" t="s">
        <v>388</v>
      </c>
      <c r="H18" s="9" t="s">
        <v>384</v>
      </c>
    </row>
    <row r="19" spans="1:8" x14ac:dyDescent="0.35">
      <c r="A19" s="9">
        <v>18</v>
      </c>
      <c r="B19" s="9" t="s">
        <v>426</v>
      </c>
      <c r="C19" s="9" t="s">
        <v>427</v>
      </c>
      <c r="D19" s="9" t="s">
        <v>381</v>
      </c>
      <c r="E19" s="9" t="s">
        <v>32</v>
      </c>
      <c r="F19" s="9" t="s">
        <v>428</v>
      </c>
      <c r="G19" s="9" t="s">
        <v>388</v>
      </c>
      <c r="H19" s="9" t="s">
        <v>384</v>
      </c>
    </row>
    <row r="20" spans="1:8" x14ac:dyDescent="0.35">
      <c r="A20" s="9">
        <v>19</v>
      </c>
      <c r="B20" s="9" t="s">
        <v>426</v>
      </c>
      <c r="C20" s="9" t="s">
        <v>429</v>
      </c>
      <c r="D20" s="9" t="s">
        <v>386</v>
      </c>
      <c r="E20" s="9" t="s">
        <v>121</v>
      </c>
      <c r="F20" s="9" t="s">
        <v>430</v>
      </c>
      <c r="G20" s="9" t="s">
        <v>410</v>
      </c>
      <c r="H20" s="9" t="s">
        <v>384</v>
      </c>
    </row>
    <row r="21" spans="1:8" x14ac:dyDescent="0.35">
      <c r="A21" s="9">
        <v>20</v>
      </c>
      <c r="B21" s="9" t="s">
        <v>426</v>
      </c>
      <c r="C21" s="9" t="s">
        <v>431</v>
      </c>
      <c r="D21" s="9" t="s">
        <v>432</v>
      </c>
      <c r="E21" s="9" t="s">
        <v>91</v>
      </c>
      <c r="F21" s="9" t="s">
        <v>433</v>
      </c>
      <c r="G21" s="9" t="s">
        <v>410</v>
      </c>
      <c r="H21" s="9" t="s">
        <v>384</v>
      </c>
    </row>
    <row r="22" spans="1:8" x14ac:dyDescent="0.35">
      <c r="A22" s="9">
        <v>21</v>
      </c>
      <c r="B22" s="9" t="s">
        <v>434</v>
      </c>
      <c r="C22" s="9" t="s">
        <v>435</v>
      </c>
      <c r="D22" s="9" t="s">
        <v>381</v>
      </c>
      <c r="E22" s="9" t="s">
        <v>32</v>
      </c>
      <c r="F22" s="9" t="s">
        <v>436</v>
      </c>
      <c r="G22" s="9" t="s">
        <v>398</v>
      </c>
      <c r="H22" s="9" t="s">
        <v>384</v>
      </c>
    </row>
    <row r="23" spans="1:8" x14ac:dyDescent="0.35">
      <c r="A23" s="9">
        <v>22</v>
      </c>
      <c r="B23" s="9" t="s">
        <v>434</v>
      </c>
      <c r="C23" s="9" t="s">
        <v>437</v>
      </c>
      <c r="D23" s="9" t="s">
        <v>438</v>
      </c>
      <c r="E23" s="9" t="s">
        <v>121</v>
      </c>
      <c r="F23" s="9" t="s">
        <v>439</v>
      </c>
      <c r="G23" s="9" t="s">
        <v>388</v>
      </c>
      <c r="H23" s="9" t="s">
        <v>384</v>
      </c>
    </row>
    <row r="24" spans="1:8" x14ac:dyDescent="0.35">
      <c r="A24" s="9">
        <v>23</v>
      </c>
      <c r="B24" s="9" t="s">
        <v>434</v>
      </c>
      <c r="C24" s="9" t="s">
        <v>440</v>
      </c>
      <c r="D24" s="9" t="s">
        <v>438</v>
      </c>
      <c r="E24" s="9" t="s">
        <v>121</v>
      </c>
      <c r="F24" s="9" t="s">
        <v>441</v>
      </c>
      <c r="G24" s="9" t="s">
        <v>388</v>
      </c>
      <c r="H24" s="9" t="s">
        <v>384</v>
      </c>
    </row>
    <row r="25" spans="1:8" x14ac:dyDescent="0.35">
      <c r="A25" s="9">
        <v>24</v>
      </c>
      <c r="B25" s="9" t="s">
        <v>434</v>
      </c>
      <c r="C25" s="9" t="s">
        <v>442</v>
      </c>
      <c r="D25" s="9" t="s">
        <v>432</v>
      </c>
      <c r="E25" s="9" t="s">
        <v>443</v>
      </c>
      <c r="F25" s="9" t="s">
        <v>444</v>
      </c>
      <c r="G25" s="9" t="s">
        <v>410</v>
      </c>
      <c r="H25" s="9" t="s">
        <v>384</v>
      </c>
    </row>
    <row r="26" spans="1:8" x14ac:dyDescent="0.35">
      <c r="A26" s="9">
        <v>25</v>
      </c>
      <c r="B26" s="9" t="s">
        <v>281</v>
      </c>
      <c r="C26" s="9" t="s">
        <v>445</v>
      </c>
      <c r="D26" s="9" t="s">
        <v>446</v>
      </c>
      <c r="E26" s="9" t="s">
        <v>32</v>
      </c>
      <c r="F26" s="9" t="s">
        <v>447</v>
      </c>
      <c r="G26" s="9" t="s">
        <v>398</v>
      </c>
      <c r="H26" s="9" t="s">
        <v>384</v>
      </c>
    </row>
    <row r="27" spans="1:8" x14ac:dyDescent="0.35">
      <c r="A27" s="9">
        <v>26</v>
      </c>
      <c r="B27" s="9" t="s">
        <v>448</v>
      </c>
      <c r="C27" s="9" t="s">
        <v>449</v>
      </c>
      <c r="D27" s="9" t="s">
        <v>381</v>
      </c>
      <c r="E27" s="9" t="s">
        <v>121</v>
      </c>
      <c r="F27" s="9" t="s">
        <v>417</v>
      </c>
      <c r="G27" s="9" t="s">
        <v>388</v>
      </c>
      <c r="H27" s="9" t="s">
        <v>384</v>
      </c>
    </row>
    <row r="28" spans="1:8" x14ac:dyDescent="0.35">
      <c r="A28" s="9">
        <v>27</v>
      </c>
      <c r="B28" s="9" t="s">
        <v>448</v>
      </c>
      <c r="C28" s="9" t="s">
        <v>450</v>
      </c>
      <c r="D28" s="9" t="s">
        <v>451</v>
      </c>
      <c r="E28" s="9" t="s">
        <v>121</v>
      </c>
      <c r="F28" s="9" t="s">
        <v>452</v>
      </c>
      <c r="G28" s="9" t="s">
        <v>388</v>
      </c>
      <c r="H28" s="9" t="s">
        <v>384</v>
      </c>
    </row>
    <row r="29" spans="1:8" x14ac:dyDescent="0.35">
      <c r="A29" s="9">
        <v>28</v>
      </c>
      <c r="B29" s="9" t="s">
        <v>448</v>
      </c>
      <c r="C29" s="9" t="s">
        <v>453</v>
      </c>
      <c r="D29" s="9" t="s">
        <v>438</v>
      </c>
      <c r="E29" s="9" t="s">
        <v>121</v>
      </c>
      <c r="F29" s="9" t="s">
        <v>454</v>
      </c>
      <c r="G29" s="9" t="s">
        <v>388</v>
      </c>
      <c r="H29" s="9" t="s">
        <v>384</v>
      </c>
    </row>
    <row r="30" spans="1:8" x14ac:dyDescent="0.35">
      <c r="A30" s="9">
        <v>29</v>
      </c>
      <c r="B30" s="9" t="s">
        <v>448</v>
      </c>
      <c r="C30" s="9" t="s">
        <v>455</v>
      </c>
      <c r="D30" s="9" t="s">
        <v>381</v>
      </c>
      <c r="E30" s="9" t="s">
        <v>32</v>
      </c>
      <c r="F30" s="9" t="s">
        <v>456</v>
      </c>
      <c r="G30" s="9" t="s">
        <v>388</v>
      </c>
      <c r="H30" s="9" t="s">
        <v>384</v>
      </c>
    </row>
    <row r="31" spans="1:8" ht="25" x14ac:dyDescent="0.35">
      <c r="A31" s="9">
        <v>30</v>
      </c>
      <c r="B31" s="9" t="s">
        <v>448</v>
      </c>
      <c r="C31" s="9" t="s">
        <v>457</v>
      </c>
      <c r="D31" s="9" t="s">
        <v>381</v>
      </c>
      <c r="E31" s="9" t="s">
        <v>121</v>
      </c>
      <c r="F31" s="9" t="s">
        <v>458</v>
      </c>
      <c r="G31" s="9" t="s">
        <v>410</v>
      </c>
      <c r="H31" s="9" t="s">
        <v>384</v>
      </c>
    </row>
    <row r="32" spans="1:8" ht="25" x14ac:dyDescent="0.35">
      <c r="A32" s="9">
        <v>31</v>
      </c>
      <c r="B32" s="9" t="s">
        <v>448</v>
      </c>
      <c r="C32" s="9" t="s">
        <v>459</v>
      </c>
      <c r="D32" s="9" t="s">
        <v>451</v>
      </c>
      <c r="E32" s="9" t="s">
        <v>121</v>
      </c>
      <c r="F32" s="9" t="s">
        <v>460</v>
      </c>
      <c r="G32" s="9" t="s">
        <v>388</v>
      </c>
      <c r="H32" s="9" t="s">
        <v>384</v>
      </c>
    </row>
    <row r="33" spans="1:8" x14ac:dyDescent="0.35">
      <c r="A33" s="9">
        <v>32</v>
      </c>
      <c r="B33" s="9" t="s">
        <v>461</v>
      </c>
      <c r="C33" s="9" t="s">
        <v>462</v>
      </c>
      <c r="D33" s="9" t="s">
        <v>446</v>
      </c>
      <c r="E33" s="9" t="s">
        <v>32</v>
      </c>
      <c r="F33" s="9" t="s">
        <v>439</v>
      </c>
      <c r="G33" s="9" t="s">
        <v>398</v>
      </c>
      <c r="H33" s="9" t="s">
        <v>384</v>
      </c>
    </row>
    <row r="34" spans="1:8" x14ac:dyDescent="0.35">
      <c r="A34" s="9">
        <v>33</v>
      </c>
      <c r="B34" s="9" t="s">
        <v>463</v>
      </c>
      <c r="C34" s="9" t="s">
        <v>464</v>
      </c>
      <c r="D34" s="9" t="s">
        <v>446</v>
      </c>
      <c r="E34" s="9" t="s">
        <v>32</v>
      </c>
      <c r="F34" s="9" t="s">
        <v>465</v>
      </c>
      <c r="G34" s="9" t="s">
        <v>398</v>
      </c>
      <c r="H34" s="9" t="s">
        <v>384</v>
      </c>
    </row>
    <row r="35" spans="1:8" x14ac:dyDescent="0.35">
      <c r="A35" s="9">
        <v>34</v>
      </c>
      <c r="B35" s="9" t="s">
        <v>463</v>
      </c>
      <c r="C35" s="9" t="s">
        <v>466</v>
      </c>
      <c r="D35" s="9" t="s">
        <v>451</v>
      </c>
      <c r="E35" s="9" t="s">
        <v>467</v>
      </c>
      <c r="F35" s="9" t="s">
        <v>468</v>
      </c>
      <c r="G35" s="9" t="s">
        <v>388</v>
      </c>
      <c r="H35" s="9" t="s">
        <v>384</v>
      </c>
    </row>
    <row r="36" spans="1:8" x14ac:dyDescent="0.35">
      <c r="A36" s="9">
        <v>35</v>
      </c>
      <c r="B36" s="9" t="s">
        <v>463</v>
      </c>
      <c r="C36" s="9" t="s">
        <v>469</v>
      </c>
      <c r="D36" s="9" t="s">
        <v>451</v>
      </c>
      <c r="E36" s="9" t="s">
        <v>40</v>
      </c>
      <c r="F36" s="9" t="s">
        <v>470</v>
      </c>
      <c r="G36" s="9" t="s">
        <v>388</v>
      </c>
      <c r="H36" s="9" t="s">
        <v>384</v>
      </c>
    </row>
    <row r="37" spans="1:8" x14ac:dyDescent="0.35">
      <c r="A37" s="9">
        <v>36</v>
      </c>
      <c r="B37" s="9" t="s">
        <v>471</v>
      </c>
      <c r="C37" s="9" t="s">
        <v>472</v>
      </c>
      <c r="D37" s="9" t="s">
        <v>432</v>
      </c>
      <c r="E37" s="9" t="s">
        <v>40</v>
      </c>
      <c r="F37" s="9" t="s">
        <v>473</v>
      </c>
      <c r="G37" s="9" t="s">
        <v>414</v>
      </c>
      <c r="H37" s="9" t="s">
        <v>384</v>
      </c>
    </row>
    <row r="38" spans="1:8" x14ac:dyDescent="0.35">
      <c r="A38" s="9">
        <v>37</v>
      </c>
      <c r="B38" s="9" t="s">
        <v>471</v>
      </c>
      <c r="C38" s="9" t="s">
        <v>474</v>
      </c>
      <c r="D38" s="9" t="s">
        <v>432</v>
      </c>
      <c r="E38" s="9" t="s">
        <v>40</v>
      </c>
      <c r="F38" s="9" t="s">
        <v>475</v>
      </c>
      <c r="G38" s="9" t="s">
        <v>410</v>
      </c>
      <c r="H38" s="9" t="s">
        <v>384</v>
      </c>
    </row>
    <row r="39" spans="1:8" x14ac:dyDescent="0.35">
      <c r="A39" s="9">
        <v>38</v>
      </c>
      <c r="B39" s="9" t="s">
        <v>471</v>
      </c>
      <c r="C39" s="9" t="s">
        <v>476</v>
      </c>
      <c r="D39" s="9" t="s">
        <v>432</v>
      </c>
      <c r="E39" s="9" t="s">
        <v>40</v>
      </c>
      <c r="F39" s="9" t="s">
        <v>477</v>
      </c>
      <c r="G39" s="9" t="s">
        <v>383</v>
      </c>
      <c r="H39" s="9" t="s">
        <v>384</v>
      </c>
    </row>
    <row r="40" spans="1:8" x14ac:dyDescent="0.35">
      <c r="A40" s="9">
        <v>39</v>
      </c>
      <c r="B40" s="9" t="s">
        <v>478</v>
      </c>
      <c r="C40" s="9" t="s">
        <v>479</v>
      </c>
      <c r="D40" s="9" t="s">
        <v>478</v>
      </c>
      <c r="E40" s="9" t="s">
        <v>143</v>
      </c>
      <c r="F40" s="9" t="s">
        <v>480</v>
      </c>
      <c r="G40" s="9" t="s">
        <v>410</v>
      </c>
      <c r="H40" s="9" t="s">
        <v>384</v>
      </c>
    </row>
    <row r="41" spans="1:8" x14ac:dyDescent="0.35">
      <c r="A41" s="9">
        <v>40</v>
      </c>
      <c r="B41" s="9" t="s">
        <v>478</v>
      </c>
      <c r="C41" s="9" t="s">
        <v>481</v>
      </c>
      <c r="D41" s="9" t="s">
        <v>478</v>
      </c>
      <c r="E41" s="9" t="s">
        <v>482</v>
      </c>
      <c r="F41" s="9" t="s">
        <v>483</v>
      </c>
      <c r="G41" s="9" t="s">
        <v>410</v>
      </c>
      <c r="H41" s="9" t="s">
        <v>384</v>
      </c>
    </row>
    <row r="42" spans="1:8" x14ac:dyDescent="0.35">
      <c r="A42" s="9">
        <v>41</v>
      </c>
      <c r="B42" s="9" t="s">
        <v>478</v>
      </c>
      <c r="C42" s="9" t="s">
        <v>484</v>
      </c>
      <c r="D42" s="9" t="s">
        <v>478</v>
      </c>
      <c r="E42" s="9" t="s">
        <v>143</v>
      </c>
      <c r="F42" s="9" t="s">
        <v>485</v>
      </c>
      <c r="G42" s="9" t="s">
        <v>486</v>
      </c>
      <c r="H42" s="9" t="s">
        <v>384</v>
      </c>
    </row>
    <row r="43" spans="1:8" ht="25" x14ac:dyDescent="0.35">
      <c r="A43" s="9">
        <v>42</v>
      </c>
      <c r="B43" s="9" t="s">
        <v>487</v>
      </c>
      <c r="C43" s="9" t="s">
        <v>488</v>
      </c>
      <c r="D43" s="9" t="s">
        <v>487</v>
      </c>
      <c r="E43" s="9" t="s">
        <v>489</v>
      </c>
      <c r="F43" s="9" t="s">
        <v>490</v>
      </c>
      <c r="G43" s="9" t="s">
        <v>388</v>
      </c>
      <c r="H43" s="9" t="s">
        <v>384</v>
      </c>
    </row>
    <row r="44" spans="1:8" x14ac:dyDescent="0.35">
      <c r="A44" s="9">
        <v>43</v>
      </c>
      <c r="B44" s="9" t="s">
        <v>491</v>
      </c>
      <c r="C44" s="9" t="s">
        <v>492</v>
      </c>
      <c r="D44" s="9" t="s">
        <v>491</v>
      </c>
      <c r="E44" s="9" t="s">
        <v>493</v>
      </c>
      <c r="F44" s="9" t="s">
        <v>494</v>
      </c>
      <c r="G44" s="9" t="s">
        <v>495</v>
      </c>
      <c r="H44" s="9" t="s">
        <v>384</v>
      </c>
    </row>
  </sheetData>
  <autoFilter ref="A1:H44" xr:uid="{00000000-0009-0000-0000-000004000000}"/>
  <dataValidations count="1">
    <dataValidation type="list" sqref="H2:H44" xr:uid="{00000000-0002-0000-0400-000000000000}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zoomScaleNormal="100" workbookViewId="0">
      <pane ySplit="1" topLeftCell="A2" activePane="bottomLeft" state="frozen"/>
      <selection pane="bottomLeft" activeCell="B18" sqref="B18"/>
    </sheetView>
  </sheetViews>
  <sheetFormatPr defaultColWidth="8.6328125" defaultRowHeight="14.5" x14ac:dyDescent="0.35"/>
  <cols>
    <col min="1" max="1" width="5" customWidth="1"/>
    <col min="2" max="2" width="80" customWidth="1"/>
    <col min="3" max="3" width="22" customWidth="1"/>
    <col min="4" max="4" width="12" customWidth="1"/>
    <col min="5" max="6" width="40" customWidth="1"/>
  </cols>
  <sheetData>
    <row r="1" spans="1:6" x14ac:dyDescent="0.35">
      <c r="A1" s="4" t="s">
        <v>373</v>
      </c>
      <c r="B1" s="4" t="s">
        <v>353</v>
      </c>
      <c r="C1" s="4" t="s">
        <v>496</v>
      </c>
      <c r="D1" s="4" t="s">
        <v>497</v>
      </c>
      <c r="E1" s="4" t="s">
        <v>498</v>
      </c>
      <c r="F1" s="4" t="s">
        <v>499</v>
      </c>
    </row>
    <row r="2" spans="1:6" ht="25" x14ac:dyDescent="0.35">
      <c r="A2" s="9">
        <v>1</v>
      </c>
      <c r="B2" s="9" t="s">
        <v>500</v>
      </c>
      <c r="C2" s="9" t="s">
        <v>501</v>
      </c>
      <c r="D2" s="9" t="s">
        <v>383</v>
      </c>
      <c r="E2" s="9" t="s">
        <v>502</v>
      </c>
      <c r="F2" s="9"/>
    </row>
    <row r="3" spans="1:6" ht="25" x14ac:dyDescent="0.35">
      <c r="A3" s="9">
        <v>2</v>
      </c>
      <c r="B3" s="9" t="s">
        <v>503</v>
      </c>
      <c r="C3" s="9" t="s">
        <v>412</v>
      </c>
      <c r="D3" s="9" t="s">
        <v>414</v>
      </c>
      <c r="E3" s="9" t="s">
        <v>504</v>
      </c>
      <c r="F3" s="9"/>
    </row>
    <row r="4" spans="1:6" x14ac:dyDescent="0.35">
      <c r="A4" s="9">
        <v>3</v>
      </c>
      <c r="B4" s="9" t="s">
        <v>531</v>
      </c>
      <c r="C4" s="9" t="s">
        <v>443</v>
      </c>
      <c r="D4" s="9" t="s">
        <v>410</v>
      </c>
      <c r="E4" s="9" t="s">
        <v>505</v>
      </c>
      <c r="F4" s="9"/>
    </row>
    <row r="5" spans="1:6" x14ac:dyDescent="0.35">
      <c r="A5" s="9">
        <v>4</v>
      </c>
      <c r="B5" s="9" t="s">
        <v>506</v>
      </c>
      <c r="C5" s="9" t="s">
        <v>507</v>
      </c>
      <c r="D5" s="9" t="s">
        <v>410</v>
      </c>
      <c r="E5" s="9" t="s">
        <v>508</v>
      </c>
      <c r="F5" s="9"/>
    </row>
    <row r="6" spans="1:6" x14ac:dyDescent="0.35">
      <c r="A6" s="9">
        <v>5</v>
      </c>
      <c r="B6" s="9" t="s">
        <v>509</v>
      </c>
      <c r="C6" s="9" t="s">
        <v>510</v>
      </c>
      <c r="D6" s="9" t="s">
        <v>398</v>
      </c>
      <c r="E6" s="9" t="s">
        <v>511</v>
      </c>
      <c r="F6" s="9"/>
    </row>
    <row r="7" spans="1:6" ht="25" x14ac:dyDescent="0.35">
      <c r="A7" s="9">
        <v>6</v>
      </c>
      <c r="B7" s="9" t="s">
        <v>512</v>
      </c>
      <c r="C7" s="9" t="s">
        <v>513</v>
      </c>
      <c r="D7" s="9" t="s">
        <v>414</v>
      </c>
      <c r="E7" s="9" t="s">
        <v>514</v>
      </c>
      <c r="F7" s="9"/>
    </row>
    <row r="8" spans="1:6" x14ac:dyDescent="0.35">
      <c r="A8" s="9">
        <v>7</v>
      </c>
      <c r="B8" s="9" t="s">
        <v>515</v>
      </c>
      <c r="C8" s="9" t="s">
        <v>513</v>
      </c>
      <c r="D8" s="9" t="s">
        <v>414</v>
      </c>
      <c r="E8" s="9" t="s">
        <v>516</v>
      </c>
      <c r="F8" s="9"/>
    </row>
    <row r="9" spans="1:6" x14ac:dyDescent="0.35">
      <c r="A9" s="9">
        <v>8</v>
      </c>
      <c r="B9" s="9" t="s">
        <v>517</v>
      </c>
      <c r="C9" s="9" t="s">
        <v>513</v>
      </c>
      <c r="D9" s="9" t="s">
        <v>383</v>
      </c>
      <c r="E9" s="9" t="s">
        <v>518</v>
      </c>
      <c r="F9" s="9"/>
    </row>
    <row r="10" spans="1:6" x14ac:dyDescent="0.35">
      <c r="A10" s="9">
        <v>9</v>
      </c>
      <c r="B10" s="9" t="s">
        <v>519</v>
      </c>
      <c r="C10" s="9" t="s">
        <v>443</v>
      </c>
      <c r="D10" s="9" t="s">
        <v>383</v>
      </c>
      <c r="E10" s="9" t="s">
        <v>520</v>
      </c>
      <c r="F10" s="9"/>
    </row>
    <row r="11" spans="1:6" x14ac:dyDescent="0.35">
      <c r="A11" s="9">
        <v>10</v>
      </c>
      <c r="B11" s="9" t="s">
        <v>521</v>
      </c>
      <c r="C11" s="9" t="s">
        <v>522</v>
      </c>
      <c r="D11" s="9" t="s">
        <v>383</v>
      </c>
      <c r="E11" s="9" t="s">
        <v>523</v>
      </c>
      <c r="F11" s="9"/>
    </row>
    <row r="12" spans="1:6" x14ac:dyDescent="0.35">
      <c r="A12" s="9">
        <v>11</v>
      </c>
      <c r="B12" s="9" t="s">
        <v>524</v>
      </c>
      <c r="C12" s="9" t="s">
        <v>507</v>
      </c>
      <c r="D12" s="9" t="s">
        <v>383</v>
      </c>
      <c r="E12" s="9" t="s">
        <v>525</v>
      </c>
      <c r="F12" s="9"/>
    </row>
    <row r="13" spans="1:6" x14ac:dyDescent="0.35">
      <c r="A13" s="9">
        <v>12</v>
      </c>
      <c r="B13" s="9" t="s">
        <v>526</v>
      </c>
      <c r="C13" s="9" t="s">
        <v>527</v>
      </c>
      <c r="D13" s="9" t="s">
        <v>398</v>
      </c>
      <c r="E13" s="9" t="s">
        <v>528</v>
      </c>
      <c r="F13" s="9"/>
    </row>
    <row r="14" spans="1:6" ht="25" x14ac:dyDescent="0.35">
      <c r="A14" s="9">
        <v>13</v>
      </c>
      <c r="B14" s="9" t="s">
        <v>529</v>
      </c>
      <c r="C14" s="9" t="s">
        <v>443</v>
      </c>
      <c r="D14" s="9" t="s">
        <v>398</v>
      </c>
      <c r="E14" s="9" t="s">
        <v>530</v>
      </c>
      <c r="F14" s="9"/>
    </row>
  </sheetData>
  <autoFilter ref="A1:F14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Sitemap</vt:lpstr>
      <vt:lpstr>Navigation</vt:lpstr>
      <vt:lpstr>Redirects &amp; Canonicals</vt:lpstr>
      <vt:lpstr>Build Checklist</vt:lpstr>
      <vt:lpstr>Open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Lakshman, Arshad</cp:lastModifiedBy>
  <cp:revision>0</cp:revision>
  <dcterms:created xsi:type="dcterms:W3CDTF">2026-10-07T11:04:34Z</dcterms:created>
  <dcterms:modified xsi:type="dcterms:W3CDTF">2026-10-07T11:08:26Z</dcterms:modified>
  <dc:language>en-US</dc:language>
</cp:coreProperties>
</file>